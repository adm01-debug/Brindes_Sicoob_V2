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Resumo" sheetId="2" state="visible" r:id="rId2"/>
    <sheet name="Etapas" sheetId="3" state="visible" r:id="rId3"/>
    <sheet name="Subetapas" sheetId="4" state="visible" r:id="rId4"/>
    <sheet name="Referências" sheetId="5" state="visible" r:id="rId5"/>
  </sheets>
  <definedNames>
    <definedName name="_xlnm._FilterDatabase" localSheetId="0" hidden="1">'Como usar'!$A$1:$B$13</definedName>
    <definedName name="_xlnm._FilterDatabase" localSheetId="1" hidden="1">'Resumo'!$A$1:$B$18</definedName>
    <definedName name="_xlnm._FilterDatabase" localSheetId="2" hidden="1">'Etapas'!$A$1:$N$101</definedName>
    <definedName name="_xlnm._FilterDatabase" localSheetId="3" hidden="1">'Subetapas'!$A$1:$H$1001</definedName>
    <definedName name="_xlnm._FilterDatabase" localSheetId="4" hidden="1">'Referências'!$A$1:$E$11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641"/>
      </patternFill>
    </fill>
    <fill>
      <patternFill patternType="solid">
        <fgColor rgb="00E8F4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github.com/adm01-debug/Brindes_Sicoob_V2/blob/ec5cfaf5c2de844458c0105d8ad40c35f1eb9c14/docs/pesquisa/2026-09-11/dossie.md" TargetMode="External" Id="rId1" /><Relationship Type="http://schemas.openxmlformats.org/officeDocument/2006/relationships/hyperlink" Target="https://portalcredicope.com.br/uploads/DOCUMENTOS/GUIA_DA_MARCA_-SICOOB_marco_23.pdf" TargetMode="External" Id="rId2" /><Relationship Type="http://schemas.openxmlformats.org/officeDocument/2006/relationships/hyperlink" Target="https://www.nngroup.com/articles/ten-usability-heuristics/" TargetMode="External" Id="rId3" /><Relationship Type="http://schemas.openxmlformats.org/officeDocument/2006/relationships/hyperlink" Target="https://www.w3.org/TR/WCAG22/" TargetMode="External" Id="rId4" /><Relationship Type="http://schemas.openxmlformats.org/officeDocument/2006/relationships/hyperlink" Target="https://www.w3.org/WAI/WCAG22/Understanding/contrast-minimum" TargetMode="External" Id="rId5" /><Relationship Type="http://schemas.openxmlformats.org/officeDocument/2006/relationships/hyperlink" Target="https://www.w3.org/WAI/WCAG22/Understanding/non-text-contrast.html" TargetMode="External" Id="rId6" /><Relationship Type="http://schemas.openxmlformats.org/officeDocument/2006/relationships/hyperlink" Target="https://www.w3.org/WAI/WCAG22/Understanding/target-size-minimum" TargetMode="External" Id="rId7" /><Relationship Type="http://schemas.openxmlformats.org/officeDocument/2006/relationships/hyperlink" Target="https://www.w3.org/WAI/WCAG22/Understanding/focus-not-obscured-minimum.html" TargetMode="External" Id="rId8" /><Relationship Type="http://schemas.openxmlformats.org/officeDocument/2006/relationships/hyperlink" Target="https://web.dev/articles/vitals" TargetMode="External" Id="rId9" /><Relationship Type="http://schemas.openxmlformats.org/officeDocument/2006/relationships/hyperlink" Target="https://design-system.service.gov.uk/patterns/complete-multiple-tasks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2" customHeight="1">
      <c r="A1" s="1" t="inlineStr">
        <is>
          <t>Campo</t>
        </is>
      </c>
      <c r="B1" s="1" t="inlineStr">
        <is>
          <t>Orientação</t>
        </is>
      </c>
    </row>
    <row r="2" ht="78" customHeight="1">
      <c r="A2" s="2" t="inlineStr">
        <is>
          <t>Plano</t>
        </is>
      </c>
      <c r="B2" s="2" t="inlineStr">
        <is>
          <t>100 etapas; 1.000 subetapas; todos os estados iniciais pendentes.</t>
        </is>
      </c>
    </row>
    <row r="3" ht="78" customHeight="1">
      <c r="A3" s="2" t="inlineStr">
        <is>
          <t>Subetapas</t>
        </is>
      </c>
      <c r="B3" s="2" t="inlineStr">
        <is>
          <t>Preencha estado e evidência. Concluída sem evidência não conta como verificada.</t>
        </is>
      </c>
    </row>
    <row r="4" ht="78" customHeight="1">
      <c r="A4" s="2" t="inlineStr">
        <is>
          <t>Etapas</t>
        </is>
      </c>
      <c r="B4" s="2" t="inlineStr">
        <is>
          <t>Preencha responsável nominal, revisor, evidência do entregável e aceite validado.</t>
        </is>
      </c>
    </row>
    <row r="5" ht="78" customHeight="1">
      <c r="A5" s="2" t="inlineStr">
        <is>
          <t>Conclusão</t>
        </is>
      </c>
      <c r="B5" s="2" t="inlineStr">
        <is>
          <t>A fórmula exige 10 subetapas verificadas e fechamento dos requisitos e dependências.</t>
        </is>
      </c>
    </row>
    <row r="6" ht="78" customHeight="1">
      <c r="A6" s="2" t="inlineStr">
        <is>
          <t>Fórmulas</t>
        </is>
      </c>
      <c r="B6" s="2" t="inlineStr">
        <is>
          <t>O aplicativo de planilha recalcula ao abrir. A estrutura contém fórmulas em inglês no padrão XLSX.</t>
        </is>
      </c>
    </row>
    <row r="7" ht="78" customHeight="1">
      <c r="A7" s="2" t="inlineStr">
        <is>
          <t>Revisão</t>
        </is>
      </c>
      <c r="B7" s="2" t="inlineStr">
        <is>
          <t>As fórmulas conferem preenchimento, não autenticidade de evidências ou identidade do revisor.</t>
        </is>
      </c>
    </row>
    <row r="8" ht="78" customHeight="1">
      <c r="A8" s="2" t="inlineStr">
        <is>
          <t>Versões</t>
        </is>
      </c>
      <c r="B8" s="2" t="inlineStr">
        <is>
          <t>CSV e PDF são fotografias iniciais. Planilha e checklist HTML são registros independentes; escolha o registro oficial da equipe.</t>
        </is>
      </c>
    </row>
    <row r="9" ht="78" customHeight="1">
      <c r="A9" s="2" t="inlineStr">
        <is>
          <t>Prazo</t>
        </is>
      </c>
      <c r="B9" s="2" t="inlineStr">
        <is>
          <t>Etapa não equivale a dia. Esforço e calendário dependem da etapa 10.</t>
        </is>
      </c>
    </row>
    <row r="10" ht="78" customHeight="1">
      <c r="A10" s="2" t="inlineStr">
        <is>
          <t>Catálogo</t>
        </is>
      </c>
      <c r="B10" s="2" t="inlineStr">
        <is>
          <t>doufsxqlfjyuvxuezpln: somente consulta. Não escrever estoque, preço ou produto mestre.</t>
        </is>
      </c>
    </row>
    <row r="11" ht="78" customHeight="1">
      <c r="A11" s="2" t="inlineStr">
        <is>
          <t>Banco próprio</t>
        </is>
      </c>
      <c r="B11" s="2" t="inlineStr">
        <is>
          <t>cfmzkthhgliqelozlmwu: operação do portal e snapshots históricos.</t>
        </is>
      </c>
    </row>
    <row r="12" ht="78" customHeight="1">
      <c r="A12" s="2" t="inlineStr">
        <is>
          <t>Produção</t>
        </is>
      </c>
      <c r="B12" s="2" t="inlineStr">
        <is>
          <t>Conclusão do portal exige evidências de operação real conforme etapas 96–100.</t>
        </is>
      </c>
    </row>
    <row r="13" ht="78" customHeight="1">
      <c r="A13" s="2" t="inlineStr">
        <is>
          <t>Referência</t>
        </is>
      </c>
      <c r="B13" s="2" t="inlineStr">
        <is>
          <t>Diagnóstico anterior e fontes técnicas na aba Referências.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</cols>
  <sheetData>
    <row r="1" ht="32" customHeight="1">
      <c r="A1" s="1" t="inlineStr">
        <is>
          <t>Indicador</t>
        </is>
      </c>
      <c r="B1" s="1" t="inlineStr">
        <is>
          <t>Valor</t>
        </is>
      </c>
    </row>
    <row r="2" ht="78" customHeight="1">
      <c r="A2" s="2" t="inlineStr">
        <is>
          <t>Etapas totais</t>
        </is>
      </c>
      <c r="B2" s="2" t="n">
        <v>100</v>
      </c>
    </row>
    <row r="3" ht="78" customHeight="1">
      <c r="A3" s="2" t="inlineStr">
        <is>
          <t>Subetapas totais</t>
        </is>
      </c>
      <c r="B3" s="2" t="n">
        <v>1000</v>
      </c>
    </row>
    <row r="4" ht="78" customHeight="1">
      <c r="A4" s="2" t="inlineStr">
        <is>
          <t>Subetapas verificadas</t>
        </is>
      </c>
      <c r="B4" s="2">
        <f>SUM(Subetapas!G2:G1001)</f>
        <v/>
      </c>
    </row>
    <row r="5" ht="78" customHeight="1">
      <c r="A5" s="2" t="inlineStr">
        <is>
          <t>Etapas concluídas</t>
        </is>
      </c>
      <c r="B5" s="2">
        <f>COUNTIF(Etapas!N2:N101,"Concluída")</f>
        <v/>
      </c>
    </row>
    <row r="6" ht="78" customHeight="1">
      <c r="A6" s="2" t="inlineStr">
        <is>
          <t>Avanço das subetapas</t>
        </is>
      </c>
      <c r="B6" s="3">
        <f>B4/B3</f>
        <v/>
      </c>
    </row>
    <row r="7" ht="78" customHeight="1">
      <c r="A7" s="2" t="inlineStr">
        <is>
          <t>Avanço das etapas</t>
        </is>
      </c>
      <c r="B7" s="3">
        <f>B5/B2</f>
        <v/>
      </c>
    </row>
    <row r="8" ht="78" customHeight="1">
      <c r="A8" s="2" t="inlineStr">
        <is>
          <t>Bloco</t>
        </is>
      </c>
      <c r="B8" s="2" t="inlineStr">
        <is>
          <t>Etapas concluídas</t>
        </is>
      </c>
    </row>
    <row r="9" ht="78" customHeight="1">
      <c r="A9" s="2" t="inlineStr">
        <is>
          <t>Diagnóstico e estratégia</t>
        </is>
      </c>
      <c r="B9" s="2">
        <f>COUNTIFS(Etapas!B2:B101,A9,Etapas!N2:N101,"Concluída")</f>
        <v/>
      </c>
    </row>
    <row r="10" ht="78" customHeight="1">
      <c r="A10" s="2" t="inlineStr">
        <is>
          <t>Fundamentos e segurança</t>
        </is>
      </c>
      <c r="B10" s="2">
        <f>COUNTIFS(Etapas!B2:B101,A10,Etapas!N2:N101,"Concluída")</f>
        <v/>
      </c>
    </row>
    <row r="11" ht="78" customHeight="1">
      <c r="A11" s="2" t="inlineStr">
        <is>
          <t>Estrutura e conteúdo</t>
        </is>
      </c>
      <c r="B11" s="2">
        <f>COUNTIFS(Etapas!B2:B101,A11,Etapas!N2:N101,"Concluída")</f>
        <v/>
      </c>
    </row>
    <row r="12" ht="78" customHeight="1">
      <c r="A12" s="2" t="inlineStr">
        <is>
          <t>Sistema visual</t>
        </is>
      </c>
      <c r="B12" s="2">
        <f>COUNTIFS(Etapas!B2:B101,A12,Etapas!N2:N101,"Concluída")</f>
        <v/>
      </c>
    </row>
    <row r="13" ht="78" customHeight="1">
      <c r="A13" s="2" t="inlineStr">
        <is>
          <t>Catálogo e decisão</t>
        </is>
      </c>
      <c r="B13" s="2">
        <f>COUNTIFS(Etapas!B2:B101,A13,Etapas!N2:N101,"Concluída")</f>
        <v/>
      </c>
    </row>
    <row r="14" ht="78" customHeight="1">
      <c r="A14" s="2" t="inlineStr">
        <is>
          <t>Campanhas e propostas</t>
        </is>
      </c>
      <c r="B14" s="2">
        <f>COUNTIFS(Etapas!B2:B101,A14,Etapas!N2:N101,"Concluída")</f>
        <v/>
      </c>
    </row>
    <row r="15" ht="78" customHeight="1">
      <c r="A15" s="2" t="inlineStr">
        <is>
          <t>Governança e aprovações</t>
        </is>
      </c>
      <c r="B15" s="2">
        <f>COUNTIFS(Etapas!B2:B101,A15,Etapas!N2:N101,"Concluída")</f>
        <v/>
      </c>
    </row>
    <row r="16" ht="78" customHeight="1">
      <c r="A16" s="2" t="inlineStr">
        <is>
          <t>Execução e pós-compra</t>
        </is>
      </c>
      <c r="B16" s="2">
        <f>COUNTIFS(Etapas!B2:B101,A16,Etapas!N2:N101,"Concluída")</f>
        <v/>
      </c>
    </row>
    <row r="17" ht="78" customHeight="1">
      <c r="A17" s="2" t="inlineStr">
        <is>
          <t>Qualidade e validação</t>
        </is>
      </c>
      <c r="B17" s="2">
        <f>COUNTIFS(Etapas!B2:B101,A17,Etapas!N2:N101,"Concluída")</f>
        <v/>
      </c>
    </row>
    <row r="18" ht="78" customHeight="1">
      <c r="A18" s="2" t="inlineStr">
        <is>
          <t>Produção e expansão</t>
        </is>
      </c>
      <c r="B18" s="2">
        <f>COUNTIFS(Etapas!B2:B101,A18,Etapas!N2:N101,"Concluída")</f>
        <v/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58" customWidth="1" min="3" max="3"/>
    <col width="36" customWidth="1" min="4" max="4"/>
    <col width="44" customWidth="1" min="5" max="5"/>
    <col width="55" customWidth="1" min="6" max="6"/>
    <col width="78" customWidth="1" min="7" max="7"/>
    <col width="18" customWidth="1" min="8" max="8"/>
    <col width="18" customWidth="1" min="9" max="9"/>
    <col width="30" customWidth="1" min="10" max="10"/>
    <col width="30" customWidth="1" min="11" max="11"/>
    <col width="60" customWidth="1" min="12" max="12"/>
    <col width="18" customWidth="1" min="13" max="13"/>
    <col width="42" customWidth="1" min="14" max="14"/>
  </cols>
  <sheetData>
    <row r="1" ht="32" customHeight="1">
      <c r="A1" s="1" t="inlineStr">
        <is>
          <t>Etapa</t>
        </is>
      </c>
      <c r="B1" s="1" t="inlineStr">
        <is>
          <t>Bloco</t>
        </is>
      </c>
      <c r="C1" s="1" t="inlineStr">
        <is>
          <t>Título</t>
        </is>
      </c>
      <c r="D1" s="1" t="inlineStr">
        <is>
          <t>Responsável funcional</t>
        </is>
      </c>
      <c r="E1" s="1" t="inlineStr">
        <is>
          <t>Dependências</t>
        </is>
      </c>
      <c r="F1" s="1" t="inlineStr">
        <is>
          <t>Entregável</t>
        </is>
      </c>
      <c r="G1" s="1" t="inlineStr">
        <is>
          <t>Critério obrigatório</t>
        </is>
      </c>
      <c r="H1" s="1" t="inlineStr">
        <is>
          <t>Subetapas verificadas</t>
        </is>
      </c>
      <c r="I1" s="1" t="inlineStr">
        <is>
          <t>Dependências concluídas</t>
        </is>
      </c>
      <c r="J1" s="1" t="inlineStr">
        <is>
          <t>Responsável nominal</t>
        </is>
      </c>
      <c r="K1" s="1" t="inlineStr">
        <is>
          <t>Revisor</t>
        </is>
      </c>
      <c r="L1" s="1" t="inlineStr">
        <is>
          <t>Evidência do entregável</t>
        </is>
      </c>
      <c r="M1" s="1" t="inlineStr">
        <is>
          <t>Aceite validado</t>
        </is>
      </c>
      <c r="N1" s="1" t="inlineStr">
        <is>
          <t>Estado calculado</t>
        </is>
      </c>
    </row>
    <row r="2" ht="78" customHeight="1">
      <c r="A2" s="2" t="inlineStr">
        <is>
          <t>E001</t>
        </is>
      </c>
      <c r="B2" s="2" t="inlineStr">
        <is>
          <t>Diagnóstico e estratégia</t>
        </is>
      </c>
      <c r="C2" s="2" t="inlineStr">
        <is>
          <t>Fixar o ponto de partida verificável</t>
        </is>
      </c>
      <c r="D2" s="2" t="inlineStr">
        <is>
          <t>Liderança técnica e Produto</t>
        </is>
      </c>
      <c r="E2" s="2" t="inlineStr">
        <is>
          <t>Nenhuma</t>
        </is>
      </c>
      <c r="F2" s="2" t="inlineStr">
        <is>
          <t>Inventário do ambiente e matriz de capacidades</t>
        </is>
      </c>
      <c r="G2" s="2" t="inlineStr">
        <is>
          <t>Cada capacidade possui origem, estado observado e responsável; produção não é inferida pelo README.</t>
        </is>
      </c>
      <c r="H2" s="2">
        <f>COUNTIFS(Subetapas!A$2:A$1001,A2,Subetapas!G$2:G$1001,1)</f>
        <v/>
      </c>
      <c r="I2" s="2">
        <f>IF(TRUE,"Sim","Não")</f>
        <v/>
      </c>
      <c r="J2" s="4" t="inlineStr"/>
      <c r="K2" s="4" t="inlineStr"/>
      <c r="L2" s="4" t="inlineStr"/>
      <c r="M2" s="4" t="inlineStr">
        <is>
          <t>Não</t>
        </is>
      </c>
      <c r="N2" s="2">
        <f>IF(AND(H2=10,I2="Sim",LEN(TRIM(J2))&gt;0,LEN(TRIM(K2))&gt;0,LEN(TRIM(L2))&gt;0,M2="Sim"),"Concluída",IF(H2=10,"Revisão ou dependências pendentes",IF(H2&gt;0,"Em andamento","Pendente")))</f>
        <v/>
      </c>
    </row>
    <row r="3" ht="78" customHeight="1">
      <c r="A3" s="2" t="inlineStr">
        <is>
          <t>E002</t>
        </is>
      </c>
      <c r="B3" s="2" t="inlineStr">
        <is>
          <t>Diagnóstico e estratégia</t>
        </is>
      </c>
      <c r="C3" s="2" t="inlineStr">
        <is>
          <t>Conter exposição de credenciais e ferramentas de teste</t>
        </is>
      </c>
      <c r="D3" s="2" t="inlineStr">
        <is>
          <t>Engenharia de segurança</t>
        </is>
      </c>
      <c r="E3" s="2" t="inlineStr">
        <is>
          <t>E001</t>
        </is>
      </c>
      <c r="F3" s="2" t="inlineStr">
        <is>
          <t>Superfície de acesso emergencial corrigida</t>
        </is>
      </c>
      <c r="G3" s="2" t="inlineStr">
        <is>
          <t>Nenhuma função publicada devolve segredos; o tratamento da exposição potencial está documentado.</t>
        </is>
      </c>
      <c r="H3" s="2">
        <f>COUNTIFS(Subetapas!A$2:A$1001,A3,Subetapas!G$2:G$1001,1)</f>
        <v/>
      </c>
      <c r="I3" s="2">
        <f>IF(AND(N2="Concluída"),"Sim","Não")</f>
        <v/>
      </c>
      <c r="J3" s="4" t="inlineStr"/>
      <c r="K3" s="4" t="inlineStr"/>
      <c r="L3" s="4" t="inlineStr"/>
      <c r="M3" s="4" t="inlineStr">
        <is>
          <t>Não</t>
        </is>
      </c>
      <c r="N3" s="2">
        <f>IF(AND(H3=10,I3="Sim",LEN(TRIM(J3))&gt;0,LEN(TRIM(K3))&gt;0,LEN(TRIM(L3))&gt;0,M3="Sim"),"Concluída",IF(H3=10,"Revisão ou dependências pendentes",IF(H3&gt;0,"Em andamento","Pendente")))</f>
        <v/>
      </c>
    </row>
    <row r="4" ht="78" customHeight="1">
      <c r="A4" s="2" t="inlineStr">
        <is>
          <t>E003</t>
        </is>
      </c>
      <c r="B4" s="2" t="inlineStr">
        <is>
          <t>Diagnóstico e estratégia</t>
        </is>
      </c>
      <c r="C4" s="2" t="inlineStr">
        <is>
          <t>Garantir catálogo externo exclusivamente de consulta</t>
        </is>
      </c>
      <c r="D4" s="2" t="inlineStr">
        <is>
          <t>Engenharia de dados e Backend</t>
        </is>
      </c>
      <c r="E4" s="2" t="inlineStr">
        <is>
          <t>E001, E002</t>
        </is>
      </c>
      <c r="F4" s="2" t="inlineStr">
        <is>
          <t>Contrato de integração somente leitura</t>
        </is>
      </c>
      <c r="G4" s="2" t="inlineStr">
        <is>
          <t>API e identidade de origem impedem gravações; amostra de leitura identifica corretamente o banco mestre.</t>
        </is>
      </c>
      <c r="H4" s="2">
        <f>COUNTIFS(Subetapas!A$2:A$1001,A4,Subetapas!G$2:G$1001,1)</f>
        <v/>
      </c>
      <c r="I4" s="2">
        <f>IF(AND(N2="Concluída",N3="Concluída"),"Sim","Não")</f>
        <v/>
      </c>
      <c r="J4" s="4" t="inlineStr"/>
      <c r="K4" s="4" t="inlineStr"/>
      <c r="L4" s="4" t="inlineStr"/>
      <c r="M4" s="4" t="inlineStr">
        <is>
          <t>Não</t>
        </is>
      </c>
      <c r="N4" s="2">
        <f>IF(AND(H4=10,I4="Sim",LEN(TRIM(J4))&gt;0,LEN(TRIM(K4))&gt;0,LEN(TRIM(L4))&gt;0,M4="Sim"),"Concluída",IF(H4=10,"Revisão ou dependências pendentes",IF(H4&gt;0,"Em andamento","Pendente")))</f>
        <v/>
      </c>
    </row>
    <row r="5" ht="78" customHeight="1">
      <c r="A5" s="2" t="inlineStr">
        <is>
          <t>E004</t>
        </is>
      </c>
      <c r="B5" s="2" t="inlineStr">
        <is>
          <t>Diagnóstico e estratégia</t>
        </is>
      </c>
      <c r="C5" s="2" t="inlineStr">
        <is>
          <t>Planejar pesquisa com compradores e marketing</t>
        </is>
      </c>
      <c r="D5" s="2" t="inlineStr">
        <is>
          <t>Pesquisa UX e Produto</t>
        </is>
      </c>
      <c r="E5" s="2" t="inlineStr">
        <is>
          <t>E001</t>
        </is>
      </c>
      <c r="F5" s="2" t="inlineStr">
        <is>
          <t>Plano de pesquisa e recrutamento consentido</t>
        </is>
      </c>
      <c r="G5" s="2" t="inlineStr">
        <is>
          <t>Amostra cobre papéis e cooperativas distintas; observações são separadas de hipóteses.</t>
        </is>
      </c>
      <c r="H5" s="2">
        <f>COUNTIFS(Subetapas!A$2:A$1001,A5,Subetapas!G$2:G$1001,1)</f>
        <v/>
      </c>
      <c r="I5" s="2">
        <f>IF(AND(N2="Concluída"),"Sim","Não")</f>
        <v/>
      </c>
      <c r="J5" s="4" t="inlineStr"/>
      <c r="K5" s="4" t="inlineStr"/>
      <c r="L5" s="4" t="inlineStr"/>
      <c r="M5" s="4" t="inlineStr">
        <is>
          <t>Não</t>
        </is>
      </c>
      <c r="N5" s="2">
        <f>IF(AND(H5=10,I5="Sim",LEN(TRIM(J5))&gt;0,LEN(TRIM(K5))&gt;0,LEN(TRIM(L5))&gt;0,M5="Sim"),"Concluída",IF(H5=10,"Revisão ou dependências pendentes",IF(H5&gt;0,"Em andamento","Pendente")))</f>
        <v/>
      </c>
    </row>
    <row r="6" ht="78" customHeight="1">
      <c r="A6" s="2" t="inlineStr">
        <is>
          <t>E005</t>
        </is>
      </c>
      <c r="B6" s="2" t="inlineStr">
        <is>
          <t>Diagnóstico e estratégia</t>
        </is>
      </c>
      <c r="C6" s="2" t="inlineStr">
        <is>
          <t>Definir perfis funcionais e trabalhos a realizar</t>
        </is>
      </c>
      <c r="D6" s="2" t="inlineStr">
        <is>
          <t>Pesquisa UX e Estratégia</t>
        </is>
      </c>
      <c r="E6" s="2" t="inlineStr">
        <is>
          <t>E004</t>
        </is>
      </c>
      <c r="F6" s="2" t="inlineStr">
        <is>
          <t>Perfis funcionais ligados a tarefas</t>
        </is>
      </c>
      <c r="G6" s="2" t="inlineStr">
        <is>
          <t>Cada perfil tem objetivo, contexto, dificuldade observada e critério de sucesso verificável.</t>
        </is>
      </c>
      <c r="H6" s="2">
        <f>COUNTIFS(Subetapas!A$2:A$1001,A6,Subetapas!G$2:G$1001,1)</f>
        <v/>
      </c>
      <c r="I6" s="2">
        <f>IF(AND(N5="Concluída"),"Sim","Não")</f>
        <v/>
      </c>
      <c r="J6" s="4" t="inlineStr"/>
      <c r="K6" s="4" t="inlineStr"/>
      <c r="L6" s="4" t="inlineStr"/>
      <c r="M6" s="4" t="inlineStr">
        <is>
          <t>Não</t>
        </is>
      </c>
      <c r="N6" s="2">
        <f>IF(AND(H6=10,I6="Sim",LEN(TRIM(J6))&gt;0,LEN(TRIM(K6))&gt;0,LEN(TRIM(L6))&gt;0,M6="Sim"),"Concluída",IF(H6=10,"Revisão ou dependências pendentes",IF(H6&gt;0,"Em andamento","Pendente")))</f>
        <v/>
      </c>
    </row>
    <row r="7" ht="78" customHeight="1">
      <c r="A7" s="2" t="inlineStr">
        <is>
          <t>E006</t>
        </is>
      </c>
      <c r="B7" s="2" t="inlineStr">
        <is>
          <t>Diagnóstico e estratégia</t>
        </is>
      </c>
      <c r="C7" s="2" t="inlineStr">
        <is>
          <t>Mapear a jornada atual e a jornada pretendida</t>
        </is>
      </c>
      <c r="D7" s="2" t="inlineStr">
        <is>
          <t>Estratégia de serviço e UX</t>
        </is>
      </c>
      <c r="E7" s="2" t="inlineStr">
        <is>
          <t>E004, E005</t>
        </is>
      </c>
      <c r="F7" s="2" t="inlineStr">
        <is>
          <t>Mapas de jornada atual e futura</t>
        </is>
      </c>
      <c r="G7" s="2" t="inlineStr">
        <is>
          <t>Todas as passagens entre solicitação e recebimento têm ator, informação e dificuldade identificados.</t>
        </is>
      </c>
      <c r="H7" s="2">
        <f>COUNTIFS(Subetapas!A$2:A$1001,A7,Subetapas!G$2:G$1001,1)</f>
        <v/>
      </c>
      <c r="I7" s="2">
        <f>IF(AND(N5="Concluída",N6="Concluída"),"Sim","Não")</f>
        <v/>
      </c>
      <c r="J7" s="4" t="inlineStr"/>
      <c r="K7" s="4" t="inlineStr"/>
      <c r="L7" s="4" t="inlineStr"/>
      <c r="M7" s="4" t="inlineStr">
        <is>
          <t>Não</t>
        </is>
      </c>
      <c r="N7" s="2">
        <f>IF(AND(H7=10,I7="Sim",LEN(TRIM(J7))&gt;0,LEN(TRIM(K7))&gt;0,LEN(TRIM(L7))&gt;0,M7="Sim"),"Concluída",IF(H7=10,"Revisão ou dependências pendentes",IF(H7&gt;0,"Em andamento","Pendente")))</f>
        <v/>
      </c>
    </row>
    <row r="8" ht="78" customHeight="1">
      <c r="A8" s="2" t="inlineStr">
        <is>
          <t>E007</t>
        </is>
      </c>
      <c r="B8" s="2" t="inlineStr">
        <is>
          <t>Diagnóstico e estratégia</t>
        </is>
      </c>
      <c r="C8" s="2" t="inlineStr">
        <is>
          <t>Desenhar o serviço por trás da interface</t>
        </is>
      </c>
      <c r="D8" s="2" t="inlineStr">
        <is>
          <t>Estratégia de serviço e Operação</t>
        </is>
      </c>
      <c r="E8" s="2" t="inlineStr">
        <is>
          <t>E006</t>
        </is>
      </c>
      <c r="F8" s="2" t="inlineStr">
        <is>
          <t>Mapa de serviço com responsabilidades</t>
        </is>
      </c>
      <c r="G8" s="2" t="inlineStr">
        <is>
          <t>Cada promessa exibida possui processo, sistema responsável e tratamento de falha.</t>
        </is>
      </c>
      <c r="H8" s="2">
        <f>COUNTIFS(Subetapas!A$2:A$1001,A8,Subetapas!G$2:G$1001,1)</f>
        <v/>
      </c>
      <c r="I8" s="2">
        <f>IF(AND(N7="Concluída"),"Sim","Não")</f>
        <v/>
      </c>
      <c r="J8" s="4" t="inlineStr"/>
      <c r="K8" s="4" t="inlineStr"/>
      <c r="L8" s="4" t="inlineStr"/>
      <c r="M8" s="4" t="inlineStr">
        <is>
          <t>Não</t>
        </is>
      </c>
      <c r="N8" s="2">
        <f>IF(AND(H8=10,I8="Sim",LEN(TRIM(J8))&gt;0,LEN(TRIM(K8))&gt;0,LEN(TRIM(L8))&gt;0,M8="Sim"),"Concluída",IF(H8=10,"Revisão ou dependências pendentes",IF(H8&gt;0,"Em andamento","Pendente")))</f>
        <v/>
      </c>
    </row>
    <row r="9" ht="78" customHeight="1">
      <c r="A9" s="2" t="inlineStr">
        <is>
          <t>E008</t>
        </is>
      </c>
      <c r="B9" s="2" t="inlineStr">
        <is>
          <t>Diagnóstico e estratégia</t>
        </is>
      </c>
      <c r="C9" s="2" t="inlineStr">
        <is>
          <t>Configurar governança por cooperativa</t>
        </is>
      </c>
      <c r="D9" s="2" t="inlineStr">
        <is>
          <t>Produto e responsáveis de compras</t>
        </is>
      </c>
      <c r="E9" s="2" t="inlineStr">
        <is>
          <t>E004, E007</t>
        </is>
      </c>
      <c r="F9" s="2" t="inlineStr">
        <is>
          <t>Matriz de políticas locais versionadas</t>
        </is>
      </c>
      <c r="G9" s="2" t="inlineStr">
        <is>
          <t>Duas políticas distintas podem ser representadas sem criar regra nacional fictícia.</t>
        </is>
      </c>
      <c r="H9" s="2">
        <f>COUNTIFS(Subetapas!A$2:A$1001,A9,Subetapas!G$2:G$1001,1)</f>
        <v/>
      </c>
      <c r="I9" s="2">
        <f>IF(AND(N5="Concluída",N8="Concluída"),"Sim","Não")</f>
        <v/>
      </c>
      <c r="J9" s="4" t="inlineStr"/>
      <c r="K9" s="4" t="inlineStr"/>
      <c r="L9" s="4" t="inlineStr"/>
      <c r="M9" s="4" t="inlineStr">
        <is>
          <t>Não</t>
        </is>
      </c>
      <c r="N9" s="2">
        <f>IF(AND(H9=10,I9="Sim",LEN(TRIM(J9))&gt;0,LEN(TRIM(K9))&gt;0,LEN(TRIM(L9))&gt;0,M9="Sim"),"Concluída",IF(H9=10,"Revisão ou dependências pendentes",IF(H9&gt;0,"Em andamento","Pendente")))</f>
        <v/>
      </c>
    </row>
    <row r="10" ht="78" customHeight="1">
      <c r="A10" s="2" t="inlineStr">
        <is>
          <t>E009</t>
        </is>
      </c>
      <c r="B10" s="2" t="inlineStr">
        <is>
          <t>Diagnóstico e estratégia</t>
        </is>
      </c>
      <c r="C10" s="2" t="inlineStr">
        <is>
          <t>Definir resultados e instrumentos de medição</t>
        </is>
      </c>
      <c r="D10" s="2" t="inlineStr">
        <is>
          <t>Produto e Dados</t>
        </is>
      </c>
      <c r="E10" s="2" t="inlineStr">
        <is>
          <t>E005, E006</t>
        </is>
      </c>
      <c r="F10" s="2" t="inlineStr">
        <is>
          <t>Dicionário inicial de indicadores</t>
        </is>
      </c>
      <c r="G10" s="2" t="inlineStr">
        <is>
          <t>Cada indicador tem evento de origem, denominador, período e limitação; ausência de medição é explícita.</t>
        </is>
      </c>
      <c r="H10" s="2">
        <f>COUNTIFS(Subetapas!A$2:A$1001,A10,Subetapas!G$2:G$1001,1)</f>
        <v/>
      </c>
      <c r="I10" s="2">
        <f>IF(AND(N6="Concluída",N7="Concluída"),"Sim","Não")</f>
        <v/>
      </c>
      <c r="J10" s="4" t="inlineStr"/>
      <c r="K10" s="4" t="inlineStr"/>
      <c r="L10" s="4" t="inlineStr"/>
      <c r="M10" s="4" t="inlineStr">
        <is>
          <t>Não</t>
        </is>
      </c>
      <c r="N10" s="2">
        <f>IF(AND(H10=10,I10="Sim",LEN(TRIM(J10))&gt;0,LEN(TRIM(K10))&gt;0,LEN(TRIM(L10))&gt;0,M10="Sim"),"Concluída",IF(H10=10,"Revisão ou dependências pendentes",IF(H10&gt;0,"Em andamento","Pendente")))</f>
        <v/>
      </c>
    </row>
    <row r="11" ht="78" customHeight="1">
      <c r="A11" s="2" t="inlineStr">
        <is>
          <t>E010</t>
        </is>
      </c>
      <c r="B11" s="2" t="inlineStr">
        <is>
          <t>Diagnóstico e estratégia</t>
        </is>
      </c>
      <c r="C11" s="2" t="inlineStr">
        <is>
          <t>Definir escopo e ordem das entregas</t>
        </is>
      </c>
      <c r="D11" s="2" t="inlineStr">
        <is>
          <t>Produto, UX e Liderança técnica</t>
        </is>
      </c>
      <c r="E11" s="2" t="inlineStr">
        <is>
          <t>E001, E005, E007, E008, E009</t>
        </is>
      </c>
      <c r="F11" s="2" t="inlineStr">
        <is>
          <t>Plano de releases com critérios de saída</t>
        </is>
      </c>
      <c r="G11" s="2" t="inlineStr">
        <is>
          <t>Escopo preserva a jornada completa, explicita adiamentos e respeita dependências e capacidade.</t>
        </is>
      </c>
      <c r="H11" s="2">
        <f>COUNTIFS(Subetapas!A$2:A$1001,A11,Subetapas!G$2:G$1001,1)</f>
        <v/>
      </c>
      <c r="I11" s="2">
        <f>IF(AND(N2="Concluída",N6="Concluída",N8="Concluída",N9="Concluída",N10="Concluída"),"Sim","Não")</f>
        <v/>
      </c>
      <c r="J11" s="4" t="inlineStr"/>
      <c r="K11" s="4" t="inlineStr"/>
      <c r="L11" s="4" t="inlineStr"/>
      <c r="M11" s="4" t="inlineStr">
        <is>
          <t>Não</t>
        </is>
      </c>
      <c r="N11" s="2">
        <f>IF(AND(H11=10,I11="Sim",LEN(TRIM(J11))&gt;0,LEN(TRIM(K11))&gt;0,LEN(TRIM(L11))&gt;0,M11="Sim"),"Concluída",IF(H11=10,"Revisão ou dependências pendentes",IF(H11&gt;0,"Em andamento","Pendente")))</f>
        <v/>
      </c>
    </row>
    <row r="12" ht="78" customHeight="1">
      <c r="A12" s="2" t="inlineStr">
        <is>
          <t>E011</t>
        </is>
      </c>
      <c r="B12" s="2" t="inlineStr">
        <is>
          <t>Fundamentos e segurança</t>
        </is>
      </c>
      <c r="C12" s="2" t="inlineStr">
        <is>
          <t>Consolidar o modelo de dados do portal</t>
        </is>
      </c>
      <c r="D12" s="2" t="inlineStr">
        <is>
          <t>Backend e Arquitetura</t>
        </is>
      </c>
      <c r="E12" s="2" t="inlineStr">
        <is>
          <t>E003, E008, E010</t>
        </is>
      </c>
      <c r="F12" s="2" t="inlineStr">
        <is>
          <t>Modelo canônico de entidades e contratos</t>
        </is>
      </c>
      <c r="G12" s="2" t="inlineStr">
        <is>
          <t>Nomes e vínculos de cooperativa, PA, verba e pedido são consistentes entre schema, serviços e telas.</t>
        </is>
      </c>
      <c r="H12" s="2">
        <f>COUNTIFS(Subetapas!A$2:A$1001,A12,Subetapas!G$2:G$1001,1)</f>
        <v/>
      </c>
      <c r="I12" s="2">
        <f>IF(AND(N4="Concluída",N9="Concluída",N11="Concluída"),"Sim","Não")</f>
        <v/>
      </c>
      <c r="J12" s="4" t="inlineStr"/>
      <c r="K12" s="4" t="inlineStr"/>
      <c r="L12" s="4" t="inlineStr"/>
      <c r="M12" s="4" t="inlineStr">
        <is>
          <t>Não</t>
        </is>
      </c>
      <c r="N12" s="2">
        <f>IF(AND(H12=10,I12="Sim",LEN(TRIM(J12))&gt;0,LEN(TRIM(K12))&gt;0,LEN(TRIM(L12))&gt;0,M12="Sim"),"Concluída",IF(H12=10,"Revisão ou dependências pendentes",IF(H12&gt;0,"Em andamento","Pendente")))</f>
        <v/>
      </c>
    </row>
    <row r="13" ht="78" customHeight="1">
      <c r="A13" s="2" t="inlineStr">
        <is>
          <t>E012</t>
        </is>
      </c>
      <c r="B13" s="2" t="inlineStr">
        <is>
          <t>Fundamentos e segurança</t>
        </is>
      </c>
      <c r="C13" s="2" t="inlineStr">
        <is>
          <t>Unificar permissões por ação e escopo</t>
        </is>
      </c>
      <c r="D13" s="2" t="inlineStr">
        <is>
          <t>Segurança e Backend</t>
        </is>
      </c>
      <c r="E13" s="2" t="inlineStr">
        <is>
          <t>E008, E011</t>
        </is>
      </c>
      <c r="F13" s="2" t="inlineStr">
        <is>
          <t>Matriz de autorização implementável</t>
        </is>
      </c>
      <c r="G13" s="2" t="inlineStr">
        <is>
          <t>Permissões dependem de vínculo ativo e ação; cargo ou valor enviado pelo navegador não concedem acesso.</t>
        </is>
      </c>
      <c r="H13" s="2">
        <f>COUNTIFS(Subetapas!A$2:A$1001,A13,Subetapas!G$2:G$1001,1)</f>
        <v/>
      </c>
      <c r="I13" s="2">
        <f>IF(AND(N9="Concluída",N12="Concluída"),"Sim","Não")</f>
        <v/>
      </c>
      <c r="J13" s="4" t="inlineStr"/>
      <c r="K13" s="4" t="inlineStr"/>
      <c r="L13" s="4" t="inlineStr"/>
      <c r="M13" s="4" t="inlineStr">
        <is>
          <t>Não</t>
        </is>
      </c>
      <c r="N13" s="2">
        <f>IF(AND(H13=10,I13="Sim",LEN(TRIM(J13))&gt;0,LEN(TRIM(K13))&gt;0,LEN(TRIM(L13))&gt;0,M13="Sim"),"Concluída",IF(H13=10,"Revisão ou dependências pendentes",IF(H13&gt;0,"Em andamento","Pendente")))</f>
        <v/>
      </c>
    </row>
    <row r="14" ht="78" customHeight="1">
      <c r="A14" s="2" t="inlineStr">
        <is>
          <t>E013</t>
        </is>
      </c>
      <c r="B14" s="2" t="inlineStr">
        <is>
          <t>Fundamentos e segurança</t>
        </is>
      </c>
      <c r="C14" s="2" t="inlineStr">
        <is>
          <t>Implementar isolamento de dados e anexos</t>
        </is>
      </c>
      <c r="D14" s="2" t="inlineStr">
        <is>
          <t>Segurança e Backend</t>
        </is>
      </c>
      <c r="E14" s="2" t="inlineStr">
        <is>
          <t>E011, E012</t>
        </is>
      </c>
      <c r="F14" s="2" t="inlineStr">
        <is>
          <t>Policies e testes entre organizações</t>
        </is>
      </c>
      <c r="G14" s="2" t="inlineStr">
        <is>
          <t>Usuários de cooperativas distintas não acessam registros, anexos ou funções fora de seu escopo.</t>
        </is>
      </c>
      <c r="H14" s="2">
        <f>COUNTIFS(Subetapas!A$2:A$1001,A14,Subetapas!G$2:G$1001,1)</f>
        <v/>
      </c>
      <c r="I14" s="2">
        <f>IF(AND(N12="Concluída",N13="Concluída"),"Sim","Não")</f>
        <v/>
      </c>
      <c r="J14" s="4" t="inlineStr"/>
      <c r="K14" s="4" t="inlineStr"/>
      <c r="L14" s="4" t="inlineStr"/>
      <c r="M14" s="4" t="inlineStr">
        <is>
          <t>Não</t>
        </is>
      </c>
      <c r="N14" s="2">
        <f>IF(AND(H14=10,I14="Sim",LEN(TRIM(J14))&gt;0,LEN(TRIM(K14))&gt;0,LEN(TRIM(L14))&gt;0,M14="Sim"),"Concluída",IF(H14=10,"Revisão ou dependências pendentes",IF(H14&gt;0,"Em andamento","Pendente")))</f>
        <v/>
      </c>
    </row>
    <row r="15" ht="78" customHeight="1">
      <c r="A15" s="2" t="inlineStr">
        <is>
          <t>E014</t>
        </is>
      </c>
      <c r="B15" s="2" t="inlineStr">
        <is>
          <t>Fundamentos e segurança</t>
        </is>
      </c>
      <c r="C15" s="2" t="inlineStr">
        <is>
          <t>Corrigir rotas e contrato de autenticação</t>
        </is>
      </c>
      <c r="D15" s="2" t="inlineStr">
        <is>
          <t>Frontend e QA</t>
        </is>
      </c>
      <c r="E15" s="2" t="inlineStr">
        <is>
          <t>E012, E013</t>
        </is>
      </c>
      <c r="F15" s="2" t="inlineStr">
        <is>
          <t>Navegação autorizada por perfil</t>
        </is>
      </c>
      <c r="G15" s="2" t="inlineStr">
        <is>
          <t>Comprador, marketing e aprovador alcançam suas jornadas sem propriedades indefinidas ou barreiras contraditórias.</t>
        </is>
      </c>
      <c r="H15" s="2">
        <f>COUNTIFS(Subetapas!A$2:A$1001,A15,Subetapas!G$2:G$1001,1)</f>
        <v/>
      </c>
      <c r="I15" s="2">
        <f>IF(AND(N13="Concluída",N14="Concluída"),"Sim","Não")</f>
        <v/>
      </c>
      <c r="J15" s="4" t="inlineStr"/>
      <c r="K15" s="4" t="inlineStr"/>
      <c r="L15" s="4" t="inlineStr"/>
      <c r="M15" s="4" t="inlineStr">
        <is>
          <t>Não</t>
        </is>
      </c>
      <c r="N15" s="2">
        <f>IF(AND(H15=10,I15="Sim",LEN(TRIM(J15))&gt;0,LEN(TRIM(K15))&gt;0,LEN(TRIM(L15))&gt;0,M15="Sim"),"Concluída",IF(H15=10,"Revisão ou dependências pendentes",IF(H15&gt;0,"Em andamento","Pendente")))</f>
        <v/>
      </c>
    </row>
    <row r="16" ht="78" customHeight="1">
      <c r="A16" s="2" t="inlineStr">
        <is>
          <t>E015</t>
        </is>
      </c>
      <c r="B16" s="2" t="inlineStr">
        <is>
          <t>Fundamentos e segurança</t>
        </is>
      </c>
      <c r="C16" s="2" t="inlineStr">
        <is>
          <t>Definir autenticação confiável e acessível</t>
        </is>
      </c>
      <c r="D16" s="2" t="inlineStr">
        <is>
          <t>Segurança, Frontend e UX</t>
        </is>
      </c>
      <c r="E16" s="2" t="inlineStr">
        <is>
          <t>E002, E014</t>
        </is>
      </c>
      <c r="F16" s="2" t="inlineStr">
        <is>
          <t>Fluxo técnico de entrada e recuperação</t>
        </is>
      </c>
      <c r="G16" s="2" t="inlineStr">
        <is>
          <t>Somente métodos realmente configurados aparecem; autenticação concluída corresponde a sessão válida.</t>
        </is>
      </c>
      <c r="H16" s="2">
        <f>COUNTIFS(Subetapas!A$2:A$1001,A16,Subetapas!G$2:G$1001,1)</f>
        <v/>
      </c>
      <c r="I16" s="2">
        <f>IF(AND(N3="Concluída",N15="Concluída"),"Sim","Não")</f>
        <v/>
      </c>
      <c r="J16" s="4" t="inlineStr"/>
      <c r="K16" s="4" t="inlineStr"/>
      <c r="L16" s="4" t="inlineStr"/>
      <c r="M16" s="4" t="inlineStr">
        <is>
          <t>Não</t>
        </is>
      </c>
      <c r="N16" s="2">
        <f>IF(AND(H16=10,I16="Sim",LEN(TRIM(J16))&gt;0,LEN(TRIM(K16))&gt;0,LEN(TRIM(L16))&gt;0,M16="Sim"),"Concluída",IF(H16=10,"Revisão ou dependências pendentes",IF(H16&gt;0,"Em andamento","Pendente")))</f>
        <v/>
      </c>
    </row>
    <row r="17" ht="78" customHeight="1">
      <c r="A17" s="2" t="inlineStr">
        <is>
          <t>E016</t>
        </is>
      </c>
      <c r="B17" s="2" t="inlineStr">
        <is>
          <t>Fundamentos e segurança</t>
        </is>
      </c>
      <c r="C17" s="2" t="inlineStr">
        <is>
          <t>Implementar convites e vínculos organizacionais</t>
        </is>
      </c>
      <c r="D17" s="2" t="inlineStr">
        <is>
          <t>Backend, UX e Administração</t>
        </is>
      </c>
      <c r="E17" s="2" t="inlineStr">
        <is>
          <t>E011, E012, E015</t>
        </is>
      </c>
      <c r="F17" s="2" t="inlineStr">
        <is>
          <t>Onboarding controlado da cooperativa</t>
        </is>
      </c>
      <c r="G17" s="2" t="inlineStr">
        <is>
          <t>Convite cria apenas o vínculo autorizado; expiração, revogação e duplicidade possuem tratamento claro.</t>
        </is>
      </c>
      <c r="H17" s="2">
        <f>COUNTIFS(Subetapas!A$2:A$1001,A17,Subetapas!G$2:G$1001,1)</f>
        <v/>
      </c>
      <c r="I17" s="2">
        <f>IF(AND(N12="Concluída",N13="Concluída",N16="Concluída"),"Sim","Não")</f>
        <v/>
      </c>
      <c r="J17" s="4" t="inlineStr"/>
      <c r="K17" s="4" t="inlineStr"/>
      <c r="L17" s="4" t="inlineStr"/>
      <c r="M17" s="4" t="inlineStr">
        <is>
          <t>Não</t>
        </is>
      </c>
      <c r="N17" s="2">
        <f>IF(AND(H17=10,I17="Sim",LEN(TRIM(J17))&gt;0,LEN(TRIM(K17))&gt;0,LEN(TRIM(L17))&gt;0,M17="Sim"),"Concluída",IF(H17=10,"Revisão ou dependências pendentes",IF(H17&gt;0,"Em andamento","Pendente")))</f>
        <v/>
      </c>
    </row>
    <row r="18" ht="78" customHeight="1">
      <c r="A18" s="2" t="inlineStr">
        <is>
          <t>E017</t>
        </is>
      </c>
      <c r="B18" s="2" t="inlineStr">
        <is>
          <t>Fundamentos e segurança</t>
        </is>
      </c>
      <c r="C18" s="2" t="inlineStr">
        <is>
          <t>Tornar verba e compromissos consistentes</t>
        </is>
      </c>
      <c r="D18" s="2" t="inlineStr">
        <is>
          <t>Backend e Financeiro</t>
        </is>
      </c>
      <c r="E18" s="2" t="inlineStr">
        <is>
          <t>E008, E011, E012</t>
        </is>
      </c>
      <c r="F18" s="2" t="inlineStr">
        <is>
          <t>Motor transacional de verba</t>
        </is>
      </c>
      <c r="G18" s="2" t="inlineStr">
        <is>
          <t>Concorrência e repetição não geram consumo duplicado nem saldo negativo fora da política autorizada.</t>
        </is>
      </c>
      <c r="H18" s="2">
        <f>COUNTIFS(Subetapas!A$2:A$1001,A18,Subetapas!G$2:G$1001,1)</f>
        <v/>
      </c>
      <c r="I18" s="2">
        <f>IF(AND(N9="Concluída",N12="Concluída",N13="Concluída"),"Sim","Não")</f>
        <v/>
      </c>
      <c r="J18" s="4" t="inlineStr"/>
      <c r="K18" s="4" t="inlineStr"/>
      <c r="L18" s="4" t="inlineStr"/>
      <c r="M18" s="4" t="inlineStr">
        <is>
          <t>Não</t>
        </is>
      </c>
      <c r="N18" s="2">
        <f>IF(AND(H18=10,I18="Sim",LEN(TRIM(J18))&gt;0,LEN(TRIM(K18))&gt;0,LEN(TRIM(L18))&gt;0,M18="Sim"),"Concluída",IF(H18=10,"Revisão ou dependências pendentes",IF(H18&gt;0,"Em andamento","Pendente")))</f>
        <v/>
      </c>
    </row>
    <row r="19" ht="78" customHeight="1">
      <c r="A19" s="2" t="inlineStr">
        <is>
          <t>E018</t>
        </is>
      </c>
      <c r="B19" s="2" t="inlineStr">
        <is>
          <t>Fundamentos e segurança</t>
        </is>
      </c>
      <c r="C19" s="2" t="inlineStr">
        <is>
          <t>Corrigir aprovação privilegiada no servidor</t>
        </is>
      </c>
      <c r="D19" s="2" t="inlineStr">
        <is>
          <t>Backend e Segurança</t>
        </is>
      </c>
      <c r="E19" s="2" t="inlineStr">
        <is>
          <t>E012, E013, E017</t>
        </is>
      </c>
      <c r="F19" s="2" t="inlineStr">
        <is>
          <t>RPCs de decisão autorizadas e atômicas</t>
        </is>
      </c>
      <c r="G19" s="2" t="inlineStr">
        <is>
          <t>Ator, vínculo, alçada, versão e relação pedido/requisição são validados antes da decisão.</t>
        </is>
      </c>
      <c r="H19" s="2">
        <f>COUNTIFS(Subetapas!A$2:A$1001,A19,Subetapas!G$2:G$1001,1)</f>
        <v/>
      </c>
      <c r="I19" s="2">
        <f>IF(AND(N13="Concluída",N14="Concluída",N18="Concluída"),"Sim","Não")</f>
        <v/>
      </c>
      <c r="J19" s="4" t="inlineStr"/>
      <c r="K19" s="4" t="inlineStr"/>
      <c r="L19" s="4" t="inlineStr"/>
      <c r="M19" s="4" t="inlineStr">
        <is>
          <t>Não</t>
        </is>
      </c>
      <c r="N19" s="2">
        <f>IF(AND(H19=10,I19="Sim",LEN(TRIM(J19))&gt;0,LEN(TRIM(K19))&gt;0,LEN(TRIM(L19))&gt;0,M19="Sim"),"Concluída",IF(H19=10,"Revisão ou dependências pendentes",IF(H19&gt;0,"Em andamento","Pendente")))</f>
        <v/>
      </c>
    </row>
    <row r="20" ht="78" customHeight="1">
      <c r="A20" s="2" t="inlineStr">
        <is>
          <t>E019</t>
        </is>
      </c>
      <c r="B20" s="2" t="inlineStr">
        <is>
          <t>Fundamentos e segurança</t>
        </is>
      </c>
      <c r="C20" s="2" t="inlineStr">
        <is>
          <t>Restabelecer qualidade de build e testes</t>
        </is>
      </c>
      <c r="D20" s="2" t="inlineStr">
        <is>
          <t>Liderança técnica e QA</t>
        </is>
      </c>
      <c r="E20" s="2" t="inlineStr">
        <is>
          <t>E002, E003, E014, E018</t>
        </is>
      </c>
      <c r="F20" s="2" t="inlineStr">
        <is>
          <t>Pipeline executável com resultados reais</t>
        </is>
      </c>
      <c r="G20" s="2" t="inlineStr">
        <is>
          <t>Gates críticos passam sem desativação; dívida remanescente possui inventário e não afeta a jornada liberada.</t>
        </is>
      </c>
      <c r="H20" s="2">
        <f>COUNTIFS(Subetapas!A$2:A$1001,A20,Subetapas!G$2:G$1001,1)</f>
        <v/>
      </c>
      <c r="I20" s="2">
        <f>IF(AND(N3="Concluída",N4="Concluída",N15="Concluída",N19="Concluída"),"Sim","Não")</f>
        <v/>
      </c>
      <c r="J20" s="4" t="inlineStr"/>
      <c r="K20" s="4" t="inlineStr"/>
      <c r="L20" s="4" t="inlineStr"/>
      <c r="M20" s="4" t="inlineStr">
        <is>
          <t>Não</t>
        </is>
      </c>
      <c r="N20" s="2">
        <f>IF(AND(H20=10,I20="Sim",LEN(TRIM(J20))&gt;0,LEN(TRIM(K20))&gt;0,LEN(TRIM(L20))&gt;0,M20="Sim"),"Concluída",IF(H20=10,"Revisão ou dependências pendentes",IF(H20&gt;0,"Em andamento","Pendente")))</f>
        <v/>
      </c>
    </row>
    <row r="21" ht="78" customHeight="1">
      <c r="A21" s="2" t="inlineStr">
        <is>
          <t>E020</t>
        </is>
      </c>
      <c r="B21" s="2" t="inlineStr">
        <is>
          <t>Fundamentos e segurança</t>
        </is>
      </c>
      <c r="C21" s="2" t="inlineStr">
        <is>
          <t>Preparar ambiente de validação e observabilidade</t>
        </is>
      </c>
      <c r="D21" s="2" t="inlineStr">
        <is>
          <t>Infraestrutura e Operação</t>
        </is>
      </c>
      <c r="E21" s="2" t="inlineStr">
        <is>
          <t>E001, E013, E019</t>
        </is>
      </c>
      <c r="F21" s="2" t="inlineStr">
        <is>
          <t>Ambiente homologável e operação monitorada</t>
        </is>
      </c>
      <c r="G21" s="2" t="inlineStr">
        <is>
          <t>Saúde do catálogo e da compra pode ser observada; falhas têm alerta e responsável verificáveis.</t>
        </is>
      </c>
      <c r="H21" s="2">
        <f>COUNTIFS(Subetapas!A$2:A$1001,A21,Subetapas!G$2:G$1001,1)</f>
        <v/>
      </c>
      <c r="I21" s="2">
        <f>IF(AND(N2="Concluída",N14="Concluída",N20="Concluída"),"Sim","Não")</f>
        <v/>
      </c>
      <c r="J21" s="4" t="inlineStr"/>
      <c r="K21" s="4" t="inlineStr"/>
      <c r="L21" s="4" t="inlineStr"/>
      <c r="M21" s="4" t="inlineStr">
        <is>
          <t>Não</t>
        </is>
      </c>
      <c r="N21" s="2">
        <f>IF(AND(H21=10,I21="Sim",LEN(TRIM(J21))&gt;0,LEN(TRIM(K21))&gt;0,LEN(TRIM(L21))&gt;0,M21="Sim"),"Concluída",IF(H21=10,"Revisão ou dependências pendentes",IF(H21&gt;0,"Em andamento","Pendente")))</f>
        <v/>
      </c>
    </row>
    <row r="22" ht="78" customHeight="1">
      <c r="A22" s="2" t="inlineStr">
        <is>
          <t>E021</t>
        </is>
      </c>
      <c r="B22" s="2" t="inlineStr">
        <is>
          <t>Estrutura e conteúdo</t>
        </is>
      </c>
      <c r="C22" s="2" t="inlineStr">
        <is>
          <t>Organizar a arquitetura de informação</t>
        </is>
      </c>
      <c r="D22" s="2" t="inlineStr">
        <is>
          <t>UX e Conteúdo</t>
        </is>
      </c>
      <c r="E22" s="2" t="inlineStr">
        <is>
          <t>E005, E006, E010</t>
        </is>
      </c>
      <c r="F22" s="2" t="inlineStr">
        <is>
          <t>Mapa de navegação por tarefa</t>
        </is>
      </c>
      <c r="G22" s="2" t="inlineStr">
        <is>
          <t>Participantes encontram catálogo, solicitações, aprovações e entregas sem depender de termos de vendedor.</t>
        </is>
      </c>
      <c r="H22" s="2">
        <f>COUNTIFS(Subetapas!A$2:A$1001,A22,Subetapas!G$2:G$1001,1)</f>
        <v/>
      </c>
      <c r="I22" s="2">
        <f>IF(AND(N6="Concluída",N7="Concluída",N11="Concluída"),"Sim","Não")</f>
        <v/>
      </c>
      <c r="J22" s="4" t="inlineStr"/>
      <c r="K22" s="4" t="inlineStr"/>
      <c r="L22" s="4" t="inlineStr"/>
      <c r="M22" s="4" t="inlineStr">
        <is>
          <t>Não</t>
        </is>
      </c>
      <c r="N22" s="2">
        <f>IF(AND(H22=10,I22="Sim",LEN(TRIM(J22))&gt;0,LEN(TRIM(K22))&gt;0,LEN(TRIM(L22))&gt;0,M22="Sim"),"Concluída",IF(H22=10,"Revisão ou dependências pendentes",IF(H22&gt;0,"Em andamento","Pendente")))</f>
        <v/>
      </c>
    </row>
    <row r="23" ht="78" customHeight="1">
      <c r="A23" s="2" t="inlineStr">
        <is>
          <t>E022</t>
        </is>
      </c>
      <c r="B23" s="2" t="inlineStr">
        <is>
          <t>Estrutura e conteúdo</t>
        </is>
      </c>
      <c r="C23" s="2" t="inlineStr">
        <is>
          <t>Construir taxonomia útil para brindes</t>
        </is>
      </c>
      <c r="D23" s="2" t="inlineStr">
        <is>
          <t>UX, Comercial e Dados</t>
        </is>
      </c>
      <c r="E23" s="2" t="inlineStr">
        <is>
          <t>E003, E005, E021</t>
        </is>
      </c>
      <c r="F23" s="2" t="inlineStr">
        <is>
          <t>Taxonomia e mapeamento de atributos</t>
        </is>
      </c>
      <c r="G23" s="2" t="inlineStr">
        <is>
          <t>Categorias e atributos ajudam a decidir; valores desconhecidos não são apresentados como fatos.</t>
        </is>
      </c>
      <c r="H23" s="2">
        <f>COUNTIFS(Subetapas!A$2:A$1001,A23,Subetapas!G$2:G$1001,1)</f>
        <v/>
      </c>
      <c r="I23" s="2">
        <f>IF(AND(N4="Concluída",N6="Concluída",N22="Concluída"),"Sim","Não")</f>
        <v/>
      </c>
      <c r="J23" s="4" t="inlineStr"/>
      <c r="K23" s="4" t="inlineStr"/>
      <c r="L23" s="4" t="inlineStr"/>
      <c r="M23" s="4" t="inlineStr">
        <is>
          <t>Não</t>
        </is>
      </c>
      <c r="N23" s="2">
        <f>IF(AND(H23=10,I23="Sim",LEN(TRIM(J23))&gt;0,LEN(TRIM(K23))&gt;0,LEN(TRIM(L23))&gt;0,M23="Sim"),"Concluída",IF(H23=10,"Revisão ou dependências pendentes",IF(H23&gt;0,"Em andamento","Pendente")))</f>
        <v/>
      </c>
    </row>
    <row r="24" ht="78" customHeight="1">
      <c r="A24" s="2" t="inlineStr">
        <is>
          <t>E023</t>
        </is>
      </c>
      <c r="B24" s="2" t="inlineStr">
        <is>
          <t>Estrutura e conteúdo</t>
        </is>
      </c>
      <c r="C24" s="2" t="inlineStr">
        <is>
          <t>Projetar o comportamento da busca</t>
        </is>
      </c>
      <c r="D24" s="2" t="inlineStr">
        <is>
          <t>UX e Engenharia de busca</t>
        </is>
      </c>
      <c r="E24" s="2" t="inlineStr">
        <is>
          <t>E021, E022</t>
        </is>
      </c>
      <c r="F24" s="2" t="inlineStr">
        <is>
          <t>Especificação de busca por nome, código e intenção</t>
        </is>
      </c>
      <c r="G24" s="2" t="inlineStr">
        <is>
          <t>Consultas prioritárias retornam opções pertinentes ou recuperação clara, sem inventar atributos.</t>
        </is>
      </c>
      <c r="H24" s="2">
        <f>COUNTIFS(Subetapas!A$2:A$1001,A24,Subetapas!G$2:G$1001,1)</f>
        <v/>
      </c>
      <c r="I24" s="2">
        <f>IF(AND(N22="Concluída",N23="Concluída"),"Sim","Não")</f>
        <v/>
      </c>
      <c r="J24" s="4" t="inlineStr"/>
      <c r="K24" s="4" t="inlineStr"/>
      <c r="L24" s="4" t="inlineStr"/>
      <c r="M24" s="4" t="inlineStr">
        <is>
          <t>Não</t>
        </is>
      </c>
      <c r="N24" s="2">
        <f>IF(AND(H24=10,I24="Sim",LEN(TRIM(J24))&gt;0,LEN(TRIM(K24))&gt;0,LEN(TRIM(L24))&gt;0,M24="Sim"),"Concluída",IF(H24=10,"Revisão ou dependências pendentes",IF(H24&gt;0,"Em andamento","Pendente")))</f>
        <v/>
      </c>
    </row>
    <row r="25" ht="78" customHeight="1">
      <c r="A25" s="2" t="inlineStr">
        <is>
          <t>E024</t>
        </is>
      </c>
      <c r="B25" s="2" t="inlineStr">
        <is>
          <t>Estrutura e conteúdo</t>
        </is>
      </c>
      <c r="C25" s="2" t="inlineStr">
        <is>
          <t>Projetar filtros e ordenação</t>
        </is>
      </c>
      <c r="D25" s="2" t="inlineStr">
        <is>
          <t>UX e Comercial</t>
        </is>
      </c>
      <c r="E25" s="2" t="inlineStr">
        <is>
          <t>E022, E023</t>
        </is>
      </c>
      <c r="F25" s="2" t="inlineStr">
        <is>
          <t>Modelo de refinamento e ordenação</t>
        </is>
      </c>
      <c r="G25" s="2" t="inlineStr">
        <is>
          <t>Comprador entende critérios ativos, remove restrições e compara resultados sem perder contexto.</t>
        </is>
      </c>
      <c r="H25" s="2">
        <f>COUNTIFS(Subetapas!A$2:A$1001,A25,Subetapas!G$2:G$1001,1)</f>
        <v/>
      </c>
      <c r="I25" s="2">
        <f>IF(AND(N23="Concluída",N24="Concluída"),"Sim","Não")</f>
        <v/>
      </c>
      <c r="J25" s="4" t="inlineStr"/>
      <c r="K25" s="4" t="inlineStr"/>
      <c r="L25" s="4" t="inlineStr"/>
      <c r="M25" s="4" t="inlineStr">
        <is>
          <t>Não</t>
        </is>
      </c>
      <c r="N25" s="2">
        <f>IF(AND(H25=10,I25="Sim",LEN(TRIM(J25))&gt;0,LEN(TRIM(K25))&gt;0,LEN(TRIM(L25))&gt;0,M25="Sim"),"Concluída",IF(H25=10,"Revisão ou dependências pendentes",IF(H25&gt;0,"Em andamento","Pendente")))</f>
        <v/>
      </c>
    </row>
    <row r="26" ht="78" customHeight="1">
      <c r="A26" s="2" t="inlineStr">
        <is>
          <t>E025</t>
        </is>
      </c>
      <c r="B26" s="2" t="inlineStr">
        <is>
          <t>Estrutura e conteúdo</t>
        </is>
      </c>
      <c r="C26" s="2" t="inlineStr">
        <is>
          <t>Desenhar navegação entre cooperativas e unidades</t>
        </is>
      </c>
      <c r="D26" s="2" t="inlineStr">
        <is>
          <t>UX, Segurança e Frontend</t>
        </is>
      </c>
      <c r="E26" s="2" t="inlineStr">
        <is>
          <t>E012, E014, E016, E021</t>
        </is>
      </c>
      <c r="F26" s="2" t="inlineStr">
        <is>
          <t>Padrão de contexto organizacional</t>
        </is>
      </c>
      <c r="G26" s="2" t="inlineStr">
        <is>
          <t>A unidade ativa é inequívoca; trocar contexto não transporta dados privados ou rascunhos incorretos.</t>
        </is>
      </c>
      <c r="H26" s="2">
        <f>COUNTIFS(Subetapas!A$2:A$1001,A26,Subetapas!G$2:G$1001,1)</f>
        <v/>
      </c>
      <c r="I26" s="2">
        <f>IF(AND(N13="Concluída",N15="Concluída",N17="Concluída",N22="Concluída"),"Sim","Não")</f>
        <v/>
      </c>
      <c r="J26" s="4" t="inlineStr"/>
      <c r="K26" s="4" t="inlineStr"/>
      <c r="L26" s="4" t="inlineStr"/>
      <c r="M26" s="4" t="inlineStr">
        <is>
          <t>Não</t>
        </is>
      </c>
      <c r="N26" s="2">
        <f>IF(AND(H26=10,I26="Sim",LEN(TRIM(J26))&gt;0,LEN(TRIM(K26))&gt;0,LEN(TRIM(L26))&gt;0,M26="Sim"),"Concluída",IF(H26=10,"Revisão ou dependências pendentes",IF(H26&gt;0,"Em andamento","Pendente")))</f>
        <v/>
      </c>
    </row>
    <row r="27" ht="78" customHeight="1">
      <c r="A27" s="2" t="inlineStr">
        <is>
          <t>E026</t>
        </is>
      </c>
      <c r="B27" s="2" t="inlineStr">
        <is>
          <t>Estrutura e conteúdo</t>
        </is>
      </c>
      <c r="C27" s="2" t="inlineStr">
        <is>
          <t>Estabelecer linguagem e conteúdo de interface</t>
        </is>
      </c>
      <c r="D27" s="2" t="inlineStr">
        <is>
          <t>Conteúdo UX e Produto</t>
        </is>
      </c>
      <c r="E27" s="2" t="inlineStr">
        <is>
          <t>E005, E008, E021</t>
        </is>
      </c>
      <c r="F27" s="2" t="inlineStr">
        <is>
          <t>Guia de linguagem aplicado às jornadas</t>
        </is>
      </c>
      <c r="G27" s="2" t="inlineStr">
        <is>
          <t>Textos distinguem estimativa, aprovação, contratação e entrega sem promessas não comprovadas.</t>
        </is>
      </c>
      <c r="H27" s="2">
        <f>COUNTIFS(Subetapas!A$2:A$1001,A27,Subetapas!G$2:G$1001,1)</f>
        <v/>
      </c>
      <c r="I27" s="2">
        <f>IF(AND(N6="Concluída",N9="Concluída",N22="Concluída"),"Sim","Não")</f>
        <v/>
      </c>
      <c r="J27" s="4" t="inlineStr"/>
      <c r="K27" s="4" t="inlineStr"/>
      <c r="L27" s="4" t="inlineStr"/>
      <c r="M27" s="4" t="inlineStr">
        <is>
          <t>Não</t>
        </is>
      </c>
      <c r="N27" s="2">
        <f>IF(AND(H27=10,I27="Sim",LEN(TRIM(J27))&gt;0,LEN(TRIM(K27))&gt;0,LEN(TRIM(L27))&gt;0,M27="Sim"),"Concluída",IF(H27=10,"Revisão ou dependências pendentes",IF(H27&gt;0,"Em andamento","Pendente")))</f>
        <v/>
      </c>
    </row>
    <row r="28" ht="78" customHeight="1">
      <c r="A28" s="2" t="inlineStr">
        <is>
          <t>E027</t>
        </is>
      </c>
      <c r="B28" s="2" t="inlineStr">
        <is>
          <t>Estrutura e conteúdo</t>
        </is>
      </c>
      <c r="C28" s="2" t="inlineStr">
        <is>
          <t>Padronizar formulários e entrada de dados</t>
        </is>
      </c>
      <c r="D28" s="2" t="inlineStr">
        <is>
          <t>UX, Conteúdo e Frontend</t>
        </is>
      </c>
      <c r="E28" s="2" t="inlineStr">
        <is>
          <t>E011, E021, E026</t>
        </is>
      </c>
      <c r="F28" s="2" t="inlineStr">
        <is>
          <t>Padrões de formulários com validação útil</t>
        </is>
      </c>
      <c r="G28" s="2" t="inlineStr">
        <is>
          <t>Campos solicitam apenas dados necessários; erros preservam valores e orientam correção.</t>
        </is>
      </c>
      <c r="H28" s="2">
        <f>COUNTIFS(Subetapas!A$2:A$1001,A28,Subetapas!G$2:G$1001,1)</f>
        <v/>
      </c>
      <c r="I28" s="2">
        <f>IF(AND(N12="Concluída",N22="Concluída",N27="Concluída"),"Sim","Não")</f>
        <v/>
      </c>
      <c r="J28" s="4" t="inlineStr"/>
      <c r="K28" s="4" t="inlineStr"/>
      <c r="L28" s="4" t="inlineStr"/>
      <c r="M28" s="4" t="inlineStr">
        <is>
          <t>Não</t>
        </is>
      </c>
      <c r="N28" s="2">
        <f>IF(AND(H28=10,I28="Sim",LEN(TRIM(J28))&gt;0,LEN(TRIM(K28))&gt;0,LEN(TRIM(L28))&gt;0,M28="Sim"),"Concluída",IF(H28=10,"Revisão ou dependências pendentes",IF(H28&gt;0,"Em andamento","Pendente")))</f>
        <v/>
      </c>
    </row>
    <row r="29" ht="78" customHeight="1">
      <c r="A29" s="2" t="inlineStr">
        <is>
          <t>E028</t>
        </is>
      </c>
      <c r="B29" s="2" t="inlineStr">
        <is>
          <t>Estrutura e conteúdo</t>
        </is>
      </c>
      <c r="C29" s="2" t="inlineStr">
        <is>
          <t>Definir estados vazios, falhas e recuperação</t>
        </is>
      </c>
      <c r="D29" s="2" t="inlineStr">
        <is>
          <t>UX, Frontend e Backend</t>
        </is>
      </c>
      <c r="E29" s="2" t="inlineStr">
        <is>
          <t>E003, E014, E026, E027</t>
        </is>
      </c>
      <c r="F29" s="2" t="inlineStr">
        <is>
          <t>Catálogo de estados com comportamento real</t>
        </is>
      </c>
      <c r="G29" s="2" t="inlineStr">
        <is>
          <t>Cada falha oferece uma ação segura; carregamento e ausência de dados não ocultam indisponibilidade.</t>
        </is>
      </c>
      <c r="H29" s="2">
        <f>COUNTIFS(Subetapas!A$2:A$1001,A29,Subetapas!G$2:G$1001,1)</f>
        <v/>
      </c>
      <c r="I29" s="2">
        <f>IF(AND(N4="Concluída",N15="Concluída",N27="Concluída",N28="Concluída"),"Sim","Não")</f>
        <v/>
      </c>
      <c r="J29" s="4" t="inlineStr"/>
      <c r="K29" s="4" t="inlineStr"/>
      <c r="L29" s="4" t="inlineStr"/>
      <c r="M29" s="4" t="inlineStr">
        <is>
          <t>Não</t>
        </is>
      </c>
      <c r="N29" s="2">
        <f>IF(AND(H29=10,I29="Sim",LEN(TRIM(J29))&gt;0,LEN(TRIM(K29))&gt;0,LEN(TRIM(L29))&gt;0,M29="Sim"),"Concluída",IF(H29=10,"Revisão ou dependências pendentes",IF(H29&gt;0,"Em andamento","Pendente")))</f>
        <v/>
      </c>
    </row>
    <row r="30" ht="78" customHeight="1">
      <c r="A30" s="2" t="inlineStr">
        <is>
          <t>E029</t>
        </is>
      </c>
      <c r="B30" s="2" t="inlineStr">
        <is>
          <t>Estrutura e conteúdo</t>
        </is>
      </c>
      <c r="C30" s="2" t="inlineStr">
        <is>
          <t>Planejar avisos e notificações por evento</t>
        </is>
      </c>
      <c r="D30" s="2" t="inlineStr">
        <is>
          <t>UX, Operação e Backend</t>
        </is>
      </c>
      <c r="E30" s="2" t="inlineStr">
        <is>
          <t>E007, E009, E012, E026</t>
        </is>
      </c>
      <c r="F30" s="2" t="inlineStr">
        <is>
          <t>Matriz de eventos, destinatários e canais</t>
        </is>
      </c>
      <c r="G30" s="2" t="inlineStr">
        <is>
          <t>Avisos têm destinatário autorizado e próxima ação; canal inexistente não é anunciado.</t>
        </is>
      </c>
      <c r="H30" s="2">
        <f>COUNTIFS(Subetapas!A$2:A$1001,A30,Subetapas!G$2:G$1001,1)</f>
        <v/>
      </c>
      <c r="I30" s="2">
        <f>IF(AND(N8="Concluída",N10="Concluída",N13="Concluída",N27="Concluída"),"Sim","Não")</f>
        <v/>
      </c>
      <c r="J30" s="4" t="inlineStr"/>
      <c r="K30" s="4" t="inlineStr"/>
      <c r="L30" s="4" t="inlineStr"/>
      <c r="M30" s="4" t="inlineStr">
        <is>
          <t>Não</t>
        </is>
      </c>
      <c r="N30" s="2">
        <f>IF(AND(H30=10,I30="Sim",LEN(TRIM(J30))&gt;0,LEN(TRIM(K30))&gt;0,LEN(TRIM(L30))&gt;0,M30="Sim"),"Concluída",IF(H30=10,"Revisão ou dependências pendentes",IF(H30&gt;0,"Em andamento","Pendente")))</f>
        <v/>
      </c>
    </row>
    <row r="31" ht="78" customHeight="1">
      <c r="A31" s="2" t="inlineStr">
        <is>
          <t>E030</t>
        </is>
      </c>
      <c r="B31" s="2" t="inlineStr">
        <is>
          <t>Estrutura e conteúdo</t>
        </is>
      </c>
      <c r="C31" s="2" t="inlineStr">
        <is>
          <t>Validar fluxos em protótipos de baixa fidelidade</t>
        </is>
      </c>
      <c r="D31" s="2" t="inlineStr">
        <is>
          <t>UX e Pesquisa</t>
        </is>
      </c>
      <c r="E31" s="2" t="inlineStr">
        <is>
          <t>E021, E023, E024, E025, E027, E028, E029</t>
        </is>
      </c>
      <c r="F31" s="2" t="inlineStr">
        <is>
          <t>Fluxos testados antes do acabamento visual</t>
        </is>
      </c>
      <c r="G31" s="2" t="inlineStr">
        <is>
          <t>Tarefas críticas são compreendidas; problemas graves têm correção e nova verificação.</t>
        </is>
      </c>
      <c r="H31" s="2">
        <f>COUNTIFS(Subetapas!A$2:A$1001,A31,Subetapas!G$2:G$1001,1)</f>
        <v/>
      </c>
      <c r="I31" s="2">
        <f>IF(AND(N22="Concluída",N24="Concluída",N25="Concluída",N26="Concluída",N28="Concluída",N29="Concluída",N30="Concluída"),"Sim","Não")</f>
        <v/>
      </c>
      <c r="J31" s="4" t="inlineStr"/>
      <c r="K31" s="4" t="inlineStr"/>
      <c r="L31" s="4" t="inlineStr"/>
      <c r="M31" s="4" t="inlineStr">
        <is>
          <t>Não</t>
        </is>
      </c>
      <c r="N31" s="2">
        <f>IF(AND(H31=10,I31="Sim",LEN(TRIM(J31))&gt;0,LEN(TRIM(K31))&gt;0,LEN(TRIM(L31))&gt;0,M31="Sim"),"Concluída",IF(H31=10,"Revisão ou dependências pendentes",IF(H31&gt;0,"Em andamento","Pendente")))</f>
        <v/>
      </c>
    </row>
    <row r="32" ht="78" customHeight="1">
      <c r="A32" s="2" t="inlineStr">
        <is>
          <t>E031</t>
        </is>
      </c>
      <c r="B32" s="2" t="inlineStr">
        <is>
          <t>Sistema visual</t>
        </is>
      </c>
      <c r="C32" s="2" t="inlineStr">
        <is>
          <t>Definir direção visual com a marca Sicoob</t>
        </is>
      </c>
      <c r="D32" s="2" t="inlineStr">
        <is>
          <t>Direção de design e responsável pela marca</t>
        </is>
      </c>
      <c r="E32" s="2" t="inlineStr">
        <is>
          <t>E010, E026, E030</t>
        </is>
      </c>
      <c r="F32" s="2" t="inlineStr">
        <is>
          <t>Direção visual e ativos autorizados</t>
        </is>
      </c>
      <c r="G32" s="2" t="inlineStr">
        <is>
          <t>A proposta usa a versão de marca validada e demonstra consistência em telas reais do portal.</t>
        </is>
      </c>
      <c r="H32" s="2">
        <f>COUNTIFS(Subetapas!A$2:A$1001,A32,Subetapas!G$2:G$1001,1)</f>
        <v/>
      </c>
      <c r="I32" s="2">
        <f>IF(AND(N11="Concluída",N27="Concluída",N31="Concluída"),"Sim","Não")</f>
        <v/>
      </c>
      <c r="J32" s="4" t="inlineStr"/>
      <c r="K32" s="4" t="inlineStr"/>
      <c r="L32" s="4" t="inlineStr"/>
      <c r="M32" s="4" t="inlineStr">
        <is>
          <t>Não</t>
        </is>
      </c>
      <c r="N32" s="2">
        <f>IF(AND(H32=10,I32="Sim",LEN(TRIM(J32))&gt;0,LEN(TRIM(K32))&gt;0,LEN(TRIM(L32))&gt;0,M32="Sim"),"Concluída",IF(H32=10,"Revisão ou dependências pendentes",IF(H32&gt;0,"Em andamento","Pendente")))</f>
        <v/>
      </c>
    </row>
    <row r="33" ht="78" customHeight="1">
      <c r="A33" s="2" t="inlineStr">
        <is>
          <t>E032</t>
        </is>
      </c>
      <c r="B33" s="2" t="inlineStr">
        <is>
          <t>Sistema visual</t>
        </is>
      </c>
      <c r="C33" s="2" t="inlineStr">
        <is>
          <t>Estabelecer grade, espaçamento e densidade</t>
        </is>
      </c>
      <c r="D33" s="2" t="inlineStr">
        <is>
          <t>Design de interface e Frontend</t>
        </is>
      </c>
      <c r="E33" s="2" t="inlineStr">
        <is>
          <t>E030, E031</t>
        </is>
      </c>
      <c r="F33" s="2" t="inlineStr">
        <is>
          <t>Sistema de layout responsivo</t>
        </is>
      </c>
      <c r="G33" s="2" t="inlineStr">
        <is>
          <t>Páginas mantêm hierarquia e leitura em larguras pequenas, médias e amplas, sem medidas arbitrárias por tela.</t>
        </is>
      </c>
      <c r="H33" s="2">
        <f>COUNTIFS(Subetapas!A$2:A$1001,A33,Subetapas!G$2:G$1001,1)</f>
        <v/>
      </c>
      <c r="I33" s="2">
        <f>IF(AND(N31="Concluída",N32="Concluída"),"Sim","Não")</f>
        <v/>
      </c>
      <c r="J33" s="4" t="inlineStr"/>
      <c r="K33" s="4" t="inlineStr"/>
      <c r="L33" s="4" t="inlineStr"/>
      <c r="M33" s="4" t="inlineStr">
        <is>
          <t>Não</t>
        </is>
      </c>
      <c r="N33" s="2">
        <f>IF(AND(H33=10,I33="Sim",LEN(TRIM(J33))&gt;0,LEN(TRIM(K33))&gt;0,LEN(TRIM(L33))&gt;0,M33="Sim"),"Concluída",IF(H33=10,"Revisão ou dependências pendentes",IF(H33&gt;0,"Em andamento","Pendente")))</f>
        <v/>
      </c>
    </row>
    <row r="34" ht="78" customHeight="1">
      <c r="A34" s="2" t="inlineStr">
        <is>
          <t>E033</t>
        </is>
      </c>
      <c r="B34" s="2" t="inlineStr">
        <is>
          <t>Sistema visual</t>
        </is>
      </c>
      <c r="C34" s="2" t="inlineStr">
        <is>
          <t>Definir tipografia e hierarquia de leitura</t>
        </is>
      </c>
      <c r="D34" s="2" t="inlineStr">
        <is>
          <t>Design de interface e Conteúdo</t>
        </is>
      </c>
      <c r="E34" s="2" t="inlineStr">
        <is>
          <t>E026, E031, E032</t>
        </is>
      </c>
      <c r="F34" s="2" t="inlineStr">
        <is>
          <t>Escala tipográfica aplicada</t>
        </is>
      </c>
      <c r="G34" s="2" t="inlineStr">
        <is>
          <t>Textos, valores e estados são legíveis; carregamento de fontes não prejudica a tarefa.</t>
        </is>
      </c>
      <c r="H34" s="2">
        <f>COUNTIFS(Subetapas!A$2:A$1001,A34,Subetapas!G$2:G$1001,1)</f>
        <v/>
      </c>
      <c r="I34" s="2">
        <f>IF(AND(N27="Concluída",N32="Concluída",N33="Concluída"),"Sim","Não")</f>
        <v/>
      </c>
      <c r="J34" s="4" t="inlineStr"/>
      <c r="K34" s="4" t="inlineStr"/>
      <c r="L34" s="4" t="inlineStr"/>
      <c r="M34" s="4" t="inlineStr">
        <is>
          <t>Não</t>
        </is>
      </c>
      <c r="N34" s="2">
        <f>IF(AND(H34=10,I34="Sim",LEN(TRIM(J34))&gt;0,LEN(TRIM(K34))&gt;0,LEN(TRIM(L34))&gt;0,M34="Sim"),"Concluída",IF(H34=10,"Revisão ou dependências pendentes",IF(H34&gt;0,"Em andamento","Pendente")))</f>
        <v/>
      </c>
    </row>
    <row r="35" ht="78" customHeight="1">
      <c r="A35" s="2" t="inlineStr">
        <is>
          <t>E034</t>
        </is>
      </c>
      <c r="B35" s="2" t="inlineStr">
        <is>
          <t>Sistema visual</t>
        </is>
      </c>
      <c r="C35" s="2" t="inlineStr">
        <is>
          <t>Definir cores semânticas e contraste</t>
        </is>
      </c>
      <c r="D35" s="2" t="inlineStr">
        <is>
          <t>Design de interface e Acessibilidade</t>
        </is>
      </c>
      <c r="E35" s="2" t="inlineStr">
        <is>
          <t>E031, E033</t>
        </is>
      </c>
      <c r="F35" s="2" t="inlineStr">
        <is>
          <t>Paleta semântica acessível</t>
        </is>
      </c>
      <c r="G35" s="2" t="inlineStr">
        <is>
          <t>Combinações de texto e controles atendem os critérios aplicáveis; estado nunca depende apenas de cor.</t>
        </is>
      </c>
      <c r="H35" s="2">
        <f>COUNTIFS(Subetapas!A$2:A$1001,A35,Subetapas!G$2:G$1001,1)</f>
        <v/>
      </c>
      <c r="I35" s="2">
        <f>IF(AND(N32="Concluída",N34="Concluída"),"Sim","Não")</f>
        <v/>
      </c>
      <c r="J35" s="4" t="inlineStr"/>
      <c r="K35" s="4" t="inlineStr"/>
      <c r="L35" s="4" t="inlineStr"/>
      <c r="M35" s="4" t="inlineStr">
        <is>
          <t>Não</t>
        </is>
      </c>
      <c r="N35" s="2">
        <f>IF(AND(H35=10,I35="Sim",LEN(TRIM(J35))&gt;0,LEN(TRIM(K35))&gt;0,LEN(TRIM(L35))&gt;0,M35="Sim"),"Concluída",IF(H35=10,"Revisão ou dependências pendentes",IF(H35&gt;0,"Em andamento","Pendente")))</f>
        <v/>
      </c>
    </row>
    <row r="36" ht="78" customHeight="1">
      <c r="A36" s="2" t="inlineStr">
        <is>
          <t>E035</t>
        </is>
      </c>
      <c r="B36" s="2" t="inlineStr">
        <is>
          <t>Sistema visual</t>
        </is>
      </c>
      <c r="C36" s="2" t="inlineStr">
        <is>
          <t>Padronizar imagens, ícones e representação de produto</t>
        </is>
      </c>
      <c r="D36" s="2" t="inlineStr">
        <is>
          <t>Design e Conteúdo de catálogo</t>
        </is>
      </c>
      <c r="E36" s="2" t="inlineStr">
        <is>
          <t>E022, E031, E034</t>
        </is>
      </c>
      <c r="F36" s="2" t="inlineStr">
        <is>
          <t>Guia de ativos visuais comerciais</t>
        </is>
      </c>
      <c r="G36" s="2" t="inlineStr">
        <is>
          <t>Imagens ajudam a avaliar o produto e distinguem fotografia, simulação e prova de produção.</t>
        </is>
      </c>
      <c r="H36" s="2">
        <f>COUNTIFS(Subetapas!A$2:A$1001,A36,Subetapas!G$2:G$1001,1)</f>
        <v/>
      </c>
      <c r="I36" s="2">
        <f>IF(AND(N23="Concluída",N32="Concluída",N35="Concluída"),"Sim","Não")</f>
        <v/>
      </c>
      <c r="J36" s="4" t="inlineStr"/>
      <c r="K36" s="4" t="inlineStr"/>
      <c r="L36" s="4" t="inlineStr"/>
      <c r="M36" s="4" t="inlineStr">
        <is>
          <t>Não</t>
        </is>
      </c>
      <c r="N36" s="2">
        <f>IF(AND(H36=10,I36="Sim",LEN(TRIM(J36))&gt;0,LEN(TRIM(K36))&gt;0,LEN(TRIM(L36))&gt;0,M36="Sim"),"Concluída",IF(H36=10,"Revisão ou dependências pendentes",IF(H36&gt;0,"Em andamento","Pendente")))</f>
        <v/>
      </c>
    </row>
    <row r="37" ht="78" customHeight="1">
      <c r="A37" s="2" t="inlineStr">
        <is>
          <t>E036</t>
        </is>
      </c>
      <c r="B37" s="2" t="inlineStr">
        <is>
          <t>Sistema visual</t>
        </is>
      </c>
      <c r="C37" s="2" t="inlineStr">
        <is>
          <t>Implementar tokens de design</t>
        </is>
      </c>
      <c r="D37" s="2" t="inlineStr">
        <is>
          <t>Frontend e Design de sistemas</t>
        </is>
      </c>
      <c r="E37" s="2" t="inlineStr">
        <is>
          <t>E032, E033, E034, E035</t>
        </is>
      </c>
      <c r="F37" s="2" t="inlineStr">
        <is>
          <t>Tokens compartilhados entre especificação e código</t>
        </is>
      </c>
      <c r="G37" s="2" t="inlineStr">
        <is>
          <t>Mudança de um token atualiza os componentes correspondentes sem divergência visual ou semântica.</t>
        </is>
      </c>
      <c r="H37" s="2">
        <f>COUNTIFS(Subetapas!A$2:A$1001,A37,Subetapas!G$2:G$1001,1)</f>
        <v/>
      </c>
      <c r="I37" s="2">
        <f>IF(AND(N33="Concluída",N34="Concluída",N35="Concluída",N36="Concluída"),"Sim","Não")</f>
        <v/>
      </c>
      <c r="J37" s="4" t="inlineStr"/>
      <c r="K37" s="4" t="inlineStr"/>
      <c r="L37" s="4" t="inlineStr"/>
      <c r="M37" s="4" t="inlineStr">
        <is>
          <t>Não</t>
        </is>
      </c>
      <c r="N37" s="2">
        <f>IF(AND(H37=10,I37="Sim",LEN(TRIM(J37))&gt;0,LEN(TRIM(K37))&gt;0,LEN(TRIM(L37))&gt;0,M37="Sim"),"Concluída",IF(H37=10,"Revisão ou dependências pendentes",IF(H37&gt;0,"Em andamento","Pendente")))</f>
        <v/>
      </c>
    </row>
    <row r="38" ht="78" customHeight="1">
      <c r="A38" s="2" t="inlineStr">
        <is>
          <t>E037</t>
        </is>
      </c>
      <c r="B38" s="2" t="inlineStr">
        <is>
          <t>Sistema visual</t>
        </is>
      </c>
      <c r="C38" s="2" t="inlineStr">
        <is>
          <t>Consolidar componentes de ação e formulário</t>
        </is>
      </c>
      <c r="D38" s="2" t="inlineStr">
        <is>
          <t>Frontend, Design e Acessibilidade</t>
        </is>
      </c>
      <c r="E38" s="2" t="inlineStr">
        <is>
          <t>E027, E028, E036</t>
        </is>
      </c>
      <c r="F38" s="2" t="inlineStr">
        <is>
          <t>Biblioteca essencial de interação</t>
        </is>
      </c>
      <c r="G38" s="2" t="inlineStr">
        <is>
          <t>Componentes possuem estados, semântica, foco e mensagens consistentes nas jornadas críticas.</t>
        </is>
      </c>
      <c r="H38" s="2">
        <f>COUNTIFS(Subetapas!A$2:A$1001,A38,Subetapas!G$2:G$1001,1)</f>
        <v/>
      </c>
      <c r="I38" s="2">
        <f>IF(AND(N28="Concluída",N29="Concluída",N37="Concluída"),"Sim","Não")</f>
        <v/>
      </c>
      <c r="J38" s="4" t="inlineStr"/>
      <c r="K38" s="4" t="inlineStr"/>
      <c r="L38" s="4" t="inlineStr"/>
      <c r="M38" s="4" t="inlineStr">
        <is>
          <t>Não</t>
        </is>
      </c>
      <c r="N38" s="2">
        <f>IF(AND(H38=10,I38="Sim",LEN(TRIM(J38))&gt;0,LEN(TRIM(K38))&gt;0,LEN(TRIM(L38))&gt;0,M38="Sim"),"Concluída",IF(H38=10,"Revisão ou dependências pendentes",IF(H38&gt;0,"Em andamento","Pendente")))</f>
        <v/>
      </c>
    </row>
    <row r="39" ht="78" customHeight="1">
      <c r="A39" s="2" t="inlineStr">
        <is>
          <t>E038</t>
        </is>
      </c>
      <c r="B39" s="2" t="inlineStr">
        <is>
          <t>Sistema visual</t>
        </is>
      </c>
      <c r="C39" s="2" t="inlineStr">
        <is>
          <t>Consolidar tabelas, listas e visualização de estados</t>
        </is>
      </c>
      <c r="D39" s="2" t="inlineStr">
        <is>
          <t>Frontend e Design</t>
        </is>
      </c>
      <c r="E39" s="2" t="inlineStr">
        <is>
          <t>E032, E033, E034, E036</t>
        </is>
      </c>
      <c r="F39" s="2" t="inlineStr">
        <is>
          <t>Componentes de consulta operacional</t>
        </is>
      </c>
      <c r="G39" s="2" t="inlineStr">
        <is>
          <t>Dados densos continuam legíveis e operáveis, com seleção e paginação inequívocas.</t>
        </is>
      </c>
      <c r="H39" s="2">
        <f>COUNTIFS(Subetapas!A$2:A$1001,A39,Subetapas!G$2:G$1001,1)</f>
        <v/>
      </c>
      <c r="I39" s="2">
        <f>IF(AND(N33="Concluída",N34="Concluída",N35="Concluída",N37="Concluída"),"Sim","Não")</f>
        <v/>
      </c>
      <c r="J39" s="4" t="inlineStr"/>
      <c r="K39" s="4" t="inlineStr"/>
      <c r="L39" s="4" t="inlineStr"/>
      <c r="M39" s="4" t="inlineStr">
        <is>
          <t>Não</t>
        </is>
      </c>
      <c r="N39" s="2">
        <f>IF(AND(H39=10,I39="Sim",LEN(TRIM(J39))&gt;0,LEN(TRIM(K39))&gt;0,LEN(TRIM(L39))&gt;0,M39="Sim"),"Concluída",IF(H39=10,"Revisão ou dependências pendentes",IF(H39&gt;0,"Em andamento","Pendente")))</f>
        <v/>
      </c>
    </row>
    <row r="40" ht="78" customHeight="1">
      <c r="A40" s="2" t="inlineStr">
        <is>
          <t>E039</t>
        </is>
      </c>
      <c r="B40" s="2" t="inlineStr">
        <is>
          <t>Sistema visual</t>
        </is>
      </c>
      <c r="C40" s="2" t="inlineStr">
        <is>
          <t>Projetar feedback e movimento com propósito</t>
        </is>
      </c>
      <c r="D40" s="2" t="inlineStr">
        <is>
          <t>Design de interação e Frontend</t>
        </is>
      </c>
      <c r="E40" s="2" t="inlineStr">
        <is>
          <t>E028, E036, E037, E038</t>
        </is>
      </c>
      <c r="F40" s="2" t="inlineStr">
        <is>
          <t>Padrão de transições e feedback</t>
        </is>
      </c>
      <c r="G40" s="2" t="inlineStr">
        <is>
          <t>Movimento orienta a tarefa, respeita redução de animação e não encobre confirmação operacional.</t>
        </is>
      </c>
      <c r="H40" s="2">
        <f>COUNTIFS(Subetapas!A$2:A$1001,A40,Subetapas!G$2:G$1001,1)</f>
        <v/>
      </c>
      <c r="I40" s="2">
        <f>IF(AND(N29="Concluída",N37="Concluída",N38="Concluída",N39="Concluída"),"Sim","Não")</f>
        <v/>
      </c>
      <c r="J40" s="4" t="inlineStr"/>
      <c r="K40" s="4" t="inlineStr"/>
      <c r="L40" s="4" t="inlineStr"/>
      <c r="M40" s="4" t="inlineStr">
        <is>
          <t>Não</t>
        </is>
      </c>
      <c r="N40" s="2">
        <f>IF(AND(H40=10,I40="Sim",LEN(TRIM(J40))&gt;0,LEN(TRIM(K40))&gt;0,LEN(TRIM(L40))&gt;0,M40="Sim"),"Concluída",IF(H40=10,"Revisão ou dependências pendentes",IF(H40&gt;0,"Em andamento","Pendente")))</f>
        <v/>
      </c>
    </row>
    <row r="41" ht="78" customHeight="1">
      <c r="A41" s="2" t="inlineStr">
        <is>
          <t>E040</t>
        </is>
      </c>
      <c r="B41" s="2" t="inlineStr">
        <is>
          <t>Sistema visual</t>
        </is>
      </c>
      <c r="C41" s="2" t="inlineStr">
        <is>
          <t>Governar o sistema de design</t>
        </is>
      </c>
      <c r="D41" s="2" t="inlineStr">
        <is>
          <t>Design de sistemas e Liderança técnica</t>
        </is>
      </c>
      <c r="E41" s="2" t="inlineStr">
        <is>
          <t>E036, E037, E038, E039</t>
        </is>
      </c>
      <c r="F41" s="2" t="inlineStr">
        <is>
          <t>Catálogo de componentes e processo de evolução</t>
        </is>
      </c>
      <c r="G41" s="2" t="inlineStr">
        <is>
          <t>As páginas novas usam componentes publicados; exceções possuem justificativa e responsável.</t>
        </is>
      </c>
      <c r="H41" s="2">
        <f>COUNTIFS(Subetapas!A$2:A$1001,A41,Subetapas!G$2:G$1001,1)</f>
        <v/>
      </c>
      <c r="I41" s="2">
        <f>IF(AND(N37="Concluída",N38="Concluída",N39="Concluída",N40="Concluída"),"Sim","Não")</f>
        <v/>
      </c>
      <c r="J41" s="4" t="inlineStr"/>
      <c r="K41" s="4" t="inlineStr"/>
      <c r="L41" s="4" t="inlineStr"/>
      <c r="M41" s="4" t="inlineStr">
        <is>
          <t>Não</t>
        </is>
      </c>
      <c r="N41" s="2">
        <f>IF(AND(H41=10,I41="Sim",LEN(TRIM(J41))&gt;0,LEN(TRIM(K41))&gt;0,LEN(TRIM(L41))&gt;0,M41="Sim"),"Concluída",IF(H41=10,"Revisão ou dependências pendentes",IF(H41&gt;0,"Em andamento","Pendente")))</f>
        <v/>
      </c>
    </row>
    <row r="42" ht="78" customHeight="1">
      <c r="A42" s="2" t="inlineStr">
        <is>
          <t>E041</t>
        </is>
      </c>
      <c r="B42" s="2" t="inlineStr">
        <is>
          <t>Catálogo e decisão</t>
        </is>
      </c>
      <c r="C42" s="2" t="inlineStr">
        <is>
          <t>Redesenhar a experiência de acesso</t>
        </is>
      </c>
      <c r="D42" s="2" t="inlineStr">
        <is>
          <t>UX, Frontend e Conteúdo</t>
        </is>
      </c>
      <c r="E42" s="2" t="inlineStr">
        <is>
          <t>E015, E016, E026, E040</t>
        </is>
      </c>
      <c r="F42" s="2" t="inlineStr">
        <is>
          <t>Login e recuperação prontos para uso institucional</t>
        </is>
      </c>
      <c r="G42" s="2" t="inlineStr">
        <is>
          <t>Usuário identifica o serviço, entra ou recupera acesso sem controles de teste ou provedores fictícios.</t>
        </is>
      </c>
      <c r="H42" s="2">
        <f>COUNTIFS(Subetapas!A$2:A$1001,A42,Subetapas!G$2:G$1001,1)</f>
        <v/>
      </c>
      <c r="I42" s="2">
        <f>IF(AND(N16="Concluída",N17="Concluída",N27="Concluída",N41="Concluída"),"Sim","Não")</f>
        <v/>
      </c>
      <c r="J42" s="4" t="inlineStr"/>
      <c r="K42" s="4" t="inlineStr"/>
      <c r="L42" s="4" t="inlineStr"/>
      <c r="M42" s="4" t="inlineStr">
        <is>
          <t>Não</t>
        </is>
      </c>
      <c r="N42" s="2">
        <f>IF(AND(H42=10,I42="Sim",LEN(TRIM(J42))&gt;0,LEN(TRIM(K42))&gt;0,LEN(TRIM(L42))&gt;0,M42="Sim"),"Concluída",IF(H42=10,"Revisão ou dependências pendentes",IF(H42&gt;0,"Em andamento","Pendente")))</f>
        <v/>
      </c>
    </row>
    <row r="43" ht="78" customHeight="1">
      <c r="A43" s="2" t="inlineStr">
        <is>
          <t>E042</t>
        </is>
      </c>
      <c r="B43" s="2" t="inlineStr">
        <is>
          <t>Catálogo e decisão</t>
        </is>
      </c>
      <c r="C43" s="2" t="inlineStr">
        <is>
          <t>Criar início orientado às pendências</t>
        </is>
      </c>
      <c r="D43" s="2" t="inlineStr">
        <is>
          <t>UX, Frontend e Produto</t>
        </is>
      </c>
      <c r="E43" s="2" t="inlineStr">
        <is>
          <t>E009, E025, E029, E038, E040, E041</t>
        </is>
      </c>
      <c r="F43" s="2" t="inlineStr">
        <is>
          <t>Página inicial por responsabilidade</t>
        </is>
      </c>
      <c r="G43" s="2" t="inlineStr">
        <is>
          <t>As informações apresentadas correspondem ao contexto ativo e levam diretamente à próxima ação útil.</t>
        </is>
      </c>
      <c r="H43" s="2">
        <f>COUNTIFS(Subetapas!A$2:A$1001,A43,Subetapas!G$2:G$1001,1)</f>
        <v/>
      </c>
      <c r="I43" s="2">
        <f>IF(AND(N10="Concluída",N26="Concluída",N30="Concluída",N39="Concluída",N41="Concluída",N42="Concluída"),"Sim","Não")</f>
        <v/>
      </c>
      <c r="J43" s="4" t="inlineStr"/>
      <c r="K43" s="4" t="inlineStr"/>
      <c r="L43" s="4" t="inlineStr"/>
      <c r="M43" s="4" t="inlineStr">
        <is>
          <t>Não</t>
        </is>
      </c>
      <c r="N43" s="2">
        <f>IF(AND(H43=10,I43="Sim",LEN(TRIM(J43))&gt;0,LEN(TRIM(K43))&gt;0,LEN(TRIM(L43))&gt;0,M43="Sim"),"Concluída",IF(H43=10,"Revisão ou dependências pendentes",IF(H43&gt;0,"Em andamento","Pendente")))</f>
        <v/>
      </c>
    </row>
    <row r="44" ht="78" customHeight="1">
      <c r="A44" s="2" t="inlineStr">
        <is>
          <t>E043</t>
        </is>
      </c>
      <c r="B44" s="2" t="inlineStr">
        <is>
          <t>Catálogo e decisão</t>
        </is>
      </c>
      <c r="C44" s="2" t="inlineStr">
        <is>
          <t>Implementar listagem de catálogo útil</t>
        </is>
      </c>
      <c r="D44" s="2" t="inlineStr">
        <is>
          <t>Frontend, UX e Catálogo</t>
        </is>
      </c>
      <c r="E44" s="2" t="inlineStr">
        <is>
          <t>E003, E022, E024, E035, E038, E040</t>
        </is>
      </c>
      <c r="F44" s="2" t="inlineStr">
        <is>
          <t>Catálogo responsivo conectado</t>
        </is>
      </c>
      <c r="G44" s="2" t="inlineStr">
        <is>
          <t>Itens exibem dados reais, variante identificável e condições suficientes para iniciar uma seleção.</t>
        </is>
      </c>
      <c r="H44" s="2">
        <f>COUNTIFS(Subetapas!A$2:A$1001,A44,Subetapas!G$2:G$1001,1)</f>
        <v/>
      </c>
      <c r="I44" s="2">
        <f>IF(AND(N4="Concluída",N23="Concluída",N25="Concluída",N36="Concluída",N39="Concluída",N41="Concluída"),"Sim","Não")</f>
        <v/>
      </c>
      <c r="J44" s="4" t="inlineStr"/>
      <c r="K44" s="4" t="inlineStr"/>
      <c r="L44" s="4" t="inlineStr"/>
      <c r="M44" s="4" t="inlineStr">
        <is>
          <t>Não</t>
        </is>
      </c>
      <c r="N44" s="2">
        <f>IF(AND(H44=10,I44="Sim",LEN(TRIM(J44))&gt;0,LEN(TRIM(K44))&gt;0,LEN(TRIM(L44))&gt;0,M44="Sim"),"Concluída",IF(H44=10,"Revisão ou dependências pendentes",IF(H44&gt;0,"Em andamento","Pendente")))</f>
        <v/>
      </c>
    </row>
    <row r="45" ht="78" customHeight="1">
      <c r="A45" s="2" t="inlineStr">
        <is>
          <t>E044</t>
        </is>
      </c>
      <c r="B45" s="2" t="inlineStr">
        <is>
          <t>Catálogo e decisão</t>
        </is>
      </c>
      <c r="C45" s="2" t="inlineStr">
        <is>
          <t>Implementar busca com recuperação de intenção</t>
        </is>
      </c>
      <c r="D45" s="2" t="inlineStr">
        <is>
          <t>Frontend e Engenharia de busca</t>
        </is>
      </c>
      <c r="E45" s="2" t="inlineStr">
        <is>
          <t>E023, E028, E037, E043</t>
        </is>
      </c>
      <c r="F45" s="2" t="inlineStr">
        <is>
          <t>Busca operacional e mensurável</t>
        </is>
      </c>
      <c r="G45" s="2" t="inlineStr">
        <is>
          <t>Consultas prioritárias encontram itens esperados; ausência ou erro oferece recuperação coerente.</t>
        </is>
      </c>
      <c r="H45" s="2">
        <f>COUNTIFS(Subetapas!A$2:A$1001,A45,Subetapas!G$2:G$1001,1)</f>
        <v/>
      </c>
      <c r="I45" s="2">
        <f>IF(AND(N24="Concluída",N29="Concluída",N38="Concluída",N44="Concluída"),"Sim","Não")</f>
        <v/>
      </c>
      <c r="J45" s="4" t="inlineStr"/>
      <c r="K45" s="4" t="inlineStr"/>
      <c r="L45" s="4" t="inlineStr"/>
      <c r="M45" s="4" t="inlineStr">
        <is>
          <t>Não</t>
        </is>
      </c>
      <c r="N45" s="2">
        <f>IF(AND(H45=10,I45="Sim",LEN(TRIM(J45))&gt;0,LEN(TRIM(K45))&gt;0,LEN(TRIM(L45))&gt;0,M45="Sim"),"Concluída",IF(H45=10,"Revisão ou dependências pendentes",IF(H45&gt;0,"Em andamento","Pendente")))</f>
        <v/>
      </c>
    </row>
    <row r="46" ht="78" customHeight="1">
      <c r="A46" s="2" t="inlineStr">
        <is>
          <t>E045</t>
        </is>
      </c>
      <c r="B46" s="2" t="inlineStr">
        <is>
          <t>Catálogo e decisão</t>
        </is>
      </c>
      <c r="C46" s="2" t="inlineStr">
        <is>
          <t>Implementar filtros acessíveis e persistentes</t>
        </is>
      </c>
      <c r="D46" s="2" t="inlineStr">
        <is>
          <t>Frontend e UX</t>
        </is>
      </c>
      <c r="E46" s="2" t="inlineStr">
        <is>
          <t>E024, E037, E043, E044</t>
        </is>
      </c>
      <c r="F46" s="2" t="inlineStr">
        <is>
          <t>Refinamento de catálogo por critérios reais</t>
        </is>
      </c>
      <c r="G46" s="2" t="inlineStr">
        <is>
          <t>Filtros ativos são visíveis, reversíveis e preservados ao navegar, inclusive em tela móvel.</t>
        </is>
      </c>
      <c r="H46" s="2">
        <f>COUNTIFS(Subetapas!A$2:A$1001,A46,Subetapas!G$2:G$1001,1)</f>
        <v/>
      </c>
      <c r="I46" s="2">
        <f>IF(AND(N25="Concluída",N38="Concluída",N44="Concluída",N45="Concluída"),"Sim","Não")</f>
        <v/>
      </c>
      <c r="J46" s="4" t="inlineStr"/>
      <c r="K46" s="4" t="inlineStr"/>
      <c r="L46" s="4" t="inlineStr"/>
      <c r="M46" s="4" t="inlineStr">
        <is>
          <t>Não</t>
        </is>
      </c>
      <c r="N46" s="2">
        <f>IF(AND(H46=10,I46="Sim",LEN(TRIM(J46))&gt;0,LEN(TRIM(K46))&gt;0,LEN(TRIM(L46))&gt;0,M46="Sim"),"Concluída",IF(H46=10,"Revisão ou dependências pendentes",IF(H46&gt;0,"Em andamento","Pendente")))</f>
        <v/>
      </c>
    </row>
    <row r="47" ht="78" customHeight="1">
      <c r="A47" s="2" t="inlineStr">
        <is>
          <t>E046</t>
        </is>
      </c>
      <c r="B47" s="2" t="inlineStr">
        <is>
          <t>Catálogo e decisão</t>
        </is>
      </c>
      <c r="C47" s="2" t="inlineStr">
        <is>
          <t>Construir página de produto para decisão</t>
        </is>
      </c>
      <c r="D47" s="2" t="inlineStr">
        <is>
          <t>UX, Catálogo e Frontend</t>
        </is>
      </c>
      <c r="E47" s="2" t="inlineStr">
        <is>
          <t>E019, E035, E040, E043, E045</t>
        </is>
      </c>
      <c r="F47" s="2" t="inlineStr">
        <is>
          <t>Detalhe comercial e técnico do produto</t>
        </is>
      </c>
      <c r="G47" s="2" t="inlineStr">
        <is>
          <t>Comprador entende o item, suas restrições e o próximo passo sem confundir simulação com contratação.</t>
        </is>
      </c>
      <c r="H47" s="2">
        <f>COUNTIFS(Subetapas!A$2:A$1001,A47,Subetapas!G$2:G$1001,1)</f>
        <v/>
      </c>
      <c r="I47" s="2">
        <f>IF(AND(N20="Concluída",N36="Concluída",N41="Concluída",N44="Concluída",N46="Concluída"),"Sim","Não")</f>
        <v/>
      </c>
      <c r="J47" s="4" t="inlineStr"/>
      <c r="K47" s="4" t="inlineStr"/>
      <c r="L47" s="4" t="inlineStr"/>
      <c r="M47" s="4" t="inlineStr">
        <is>
          <t>Não</t>
        </is>
      </c>
      <c r="N47" s="2">
        <f>IF(AND(H47=10,I47="Sim",LEN(TRIM(J47))&gt;0,LEN(TRIM(K47))&gt;0,LEN(TRIM(L47))&gt;0,M47="Sim"),"Concluída",IF(H47=10,"Revisão ou dependências pendentes",IF(H47&gt;0,"Em andamento","Pendente")))</f>
        <v/>
      </c>
    </row>
    <row r="48" ht="78" customHeight="1">
      <c r="A48" s="2" t="inlineStr">
        <is>
          <t>E047</t>
        </is>
      </c>
      <c r="B48" s="2" t="inlineStr">
        <is>
          <t>Catálogo e decisão</t>
        </is>
      </c>
      <c r="C48" s="2" t="inlineStr">
        <is>
          <t>Especificar personalização sem ambiguidade</t>
        </is>
      </c>
      <c r="D48" s="2" t="inlineStr">
        <is>
          <t>UX, Produção e Frontend</t>
        </is>
      </c>
      <c r="E48" s="2" t="inlineStr">
        <is>
          <t>E007, E035, E037, E046</t>
        </is>
      </c>
      <c r="F48" s="2" t="inlineStr">
        <is>
          <t>Configurador de personalização comercialmente válido</t>
        </is>
      </c>
      <c r="G48" s="2" t="inlineStr">
        <is>
          <t>Técnica, área, dimensão e quantidade de cores formam uma configuração executável ou exigem análise explícita.</t>
        </is>
      </c>
      <c r="H48" s="2">
        <f>COUNTIFS(Subetapas!A$2:A$1001,A48,Subetapas!G$2:G$1001,1)</f>
        <v/>
      </c>
      <c r="I48" s="2">
        <f>IF(AND(N8="Concluída",N36="Concluída",N38="Concluída",N47="Concluída"),"Sim","Não")</f>
        <v/>
      </c>
      <c r="J48" s="4" t="inlineStr"/>
      <c r="K48" s="4" t="inlineStr"/>
      <c r="L48" s="4" t="inlineStr"/>
      <c r="M48" s="4" t="inlineStr">
        <is>
          <t>Não</t>
        </is>
      </c>
      <c r="N48" s="2">
        <f>IF(AND(H48=10,I48="Sim",LEN(TRIM(J48))&gt;0,LEN(TRIM(K48))&gt;0,LEN(TRIM(L48))&gt;0,M48="Sim"),"Concluída",IF(H48=10,"Revisão ou dependências pendentes",IF(H48&gt;0,"Em andamento","Pendente")))</f>
        <v/>
      </c>
    </row>
    <row r="49" ht="78" customHeight="1">
      <c r="A49" s="2" t="inlineStr">
        <is>
          <t>E048</t>
        </is>
      </c>
      <c r="B49" s="2" t="inlineStr">
        <is>
          <t>Catálogo e decisão</t>
        </is>
      </c>
      <c r="C49" s="2" t="inlineStr">
        <is>
          <t>Implementar simulação transparente de custo e prazo</t>
        </is>
      </c>
      <c r="D49" s="2" t="inlineStr">
        <is>
          <t>Comercial, UX e Backend</t>
        </is>
      </c>
      <c r="E49" s="2" t="inlineStr">
        <is>
          <t>E003, E017, E019, E046, E047</t>
        </is>
      </c>
      <c r="F49" s="2" t="inlineStr">
        <is>
          <t>Simulador com condições explícitas</t>
        </is>
      </c>
      <c r="G49" s="2" t="inlineStr">
        <is>
          <t>Total e prazo exibidos são reproduzíveis; estimativa não é apresentada como proposta firme ou reserva.</t>
        </is>
      </c>
      <c r="H49" s="2">
        <f>COUNTIFS(Subetapas!A$2:A$1001,A49,Subetapas!G$2:G$1001,1)</f>
        <v/>
      </c>
      <c r="I49" s="2">
        <f>IF(AND(N4="Concluída",N18="Concluída",N20="Concluída",N47="Concluída",N48="Concluída"),"Sim","Não")</f>
        <v/>
      </c>
      <c r="J49" s="4" t="inlineStr"/>
      <c r="K49" s="4" t="inlineStr"/>
      <c r="L49" s="4" t="inlineStr"/>
      <c r="M49" s="4" t="inlineStr">
        <is>
          <t>Não</t>
        </is>
      </c>
      <c r="N49" s="2">
        <f>IF(AND(H49=10,I49="Sim",LEN(TRIM(J49))&gt;0,LEN(TRIM(K49))&gt;0,LEN(TRIM(L49))&gt;0,M49="Sim"),"Concluída",IF(H49=10,"Revisão ou dependências pendentes",IF(H49&gt;0,"Em andamento","Pendente")))</f>
        <v/>
      </c>
    </row>
    <row r="50" ht="78" customHeight="1">
      <c r="A50" s="2" t="inlineStr">
        <is>
          <t>E049</t>
        </is>
      </c>
      <c r="B50" s="2" t="inlineStr">
        <is>
          <t>Catálogo e decisão</t>
        </is>
      </c>
      <c r="C50" s="2" t="inlineStr">
        <is>
          <t>Implementar comparação de alternativas</t>
        </is>
      </c>
      <c r="D50" s="2" t="inlineStr">
        <is>
          <t>UX, Frontend e Compras</t>
        </is>
      </c>
      <c r="E50" s="2" t="inlineStr">
        <is>
          <t>E038, E046, E048</t>
        </is>
      </c>
      <c r="F50" s="2" t="inlineStr">
        <is>
          <t>Comparador de propostas de produto</t>
        </is>
      </c>
      <c r="G50" s="2" t="inlineStr">
        <is>
          <t>Comparação usa quantidades e bases equivalentes e evidencia informações desconhecidas.</t>
        </is>
      </c>
      <c r="H50" s="2">
        <f>COUNTIFS(Subetapas!A$2:A$1001,A50,Subetapas!G$2:G$1001,1)</f>
        <v/>
      </c>
      <c r="I50" s="2">
        <f>IF(AND(N39="Concluída",N47="Concluída",N49="Concluída"),"Sim","Não")</f>
        <v/>
      </c>
      <c r="J50" s="4" t="inlineStr"/>
      <c r="K50" s="4" t="inlineStr"/>
      <c r="L50" s="4" t="inlineStr"/>
      <c r="M50" s="4" t="inlineStr">
        <is>
          <t>Não</t>
        </is>
      </c>
      <c r="N50" s="2">
        <f>IF(AND(H50=10,I50="Sim",LEN(TRIM(J50))&gt;0,LEN(TRIM(K50))&gt;0,LEN(TRIM(L50))&gt;0,M50="Sim"),"Concluída",IF(H50=10,"Revisão ou dependências pendentes",IF(H50&gt;0,"Em andamento","Pendente")))</f>
        <v/>
      </c>
    </row>
    <row r="51" ht="78" customHeight="1">
      <c r="A51" s="2" t="inlineStr">
        <is>
          <t>E050</t>
        </is>
      </c>
      <c r="B51" s="2" t="inlineStr">
        <is>
          <t>Catálogo e decisão</t>
        </is>
      </c>
      <c r="C51" s="2" t="inlineStr">
        <is>
          <t>Organizar favoritos e coleções compartilhadas</t>
        </is>
      </c>
      <c r="D51" s="2" t="inlineStr">
        <is>
          <t>UX, Frontend e Segurança</t>
        </is>
      </c>
      <c r="E51" s="2" t="inlineStr">
        <is>
          <t>E013, E025, E043, E046, E049</t>
        </is>
      </c>
      <c r="F51" s="2" t="inlineStr">
        <is>
          <t>Coleções privadas e colaboração autorizada</t>
        </is>
      </c>
      <c r="G51" s="2" t="inlineStr">
        <is>
          <t>Pessoas compartilham seleções no escopo permitido sem publicar custos internos ou dados de outra cooperativa.</t>
        </is>
      </c>
      <c r="H51" s="2">
        <f>COUNTIFS(Subetapas!A$2:A$1001,A51,Subetapas!G$2:G$1001,1)</f>
        <v/>
      </c>
      <c r="I51" s="2">
        <f>IF(AND(N14="Concluída",N26="Concluída",N44="Concluída",N47="Concluída",N50="Concluída"),"Sim","Não")</f>
        <v/>
      </c>
      <c r="J51" s="4" t="inlineStr"/>
      <c r="K51" s="4" t="inlineStr"/>
      <c r="L51" s="4" t="inlineStr"/>
      <c r="M51" s="4" t="inlineStr">
        <is>
          <t>Não</t>
        </is>
      </c>
      <c r="N51" s="2">
        <f>IF(AND(H51=10,I51="Sim",LEN(TRIM(J51))&gt;0,LEN(TRIM(K51))&gt;0,LEN(TRIM(L51))&gt;0,M51="Sim"),"Concluída",IF(H51=10,"Revisão ou dependências pendentes",IF(H51&gt;0,"Em andamento","Pendente")))</f>
        <v/>
      </c>
    </row>
    <row r="52" ht="78" customHeight="1">
      <c r="A52" s="2" t="inlineStr">
        <is>
          <t>E051</t>
        </is>
      </c>
      <c r="B52" s="2" t="inlineStr">
        <is>
          <t>Campanhas e propostas</t>
        </is>
      </c>
      <c r="C52" s="2" t="inlineStr">
        <is>
          <t>Criar briefing de campanha e necessidade</t>
        </is>
      </c>
      <c r="D52" s="2" t="inlineStr">
        <is>
          <t>UX, Marketing e Produto</t>
        </is>
      </c>
      <c r="E52" s="2" t="inlineStr">
        <is>
          <t>E008, E027, E030, E040, E050</t>
        </is>
      </c>
      <c r="F52" s="2" t="inlineStr">
        <is>
          <t>Formulário de campanha com contexto suficiente</t>
        </is>
      </c>
      <c r="G52" s="2" t="inlineStr">
        <is>
          <t>Briefing orienta seleção e operação sem exigir informações que o solicitante ainda não possui.</t>
        </is>
      </c>
      <c r="H52" s="2">
        <f>COUNTIFS(Subetapas!A$2:A$1001,A52,Subetapas!G$2:G$1001,1)</f>
        <v/>
      </c>
      <c r="I52" s="2">
        <f>IF(AND(N9="Concluída",N28="Concluída",N31="Concluída",N41="Concluída",N51="Concluída"),"Sim","Não")</f>
        <v/>
      </c>
      <c r="J52" s="4" t="inlineStr"/>
      <c r="K52" s="4" t="inlineStr"/>
      <c r="L52" s="4" t="inlineStr"/>
      <c r="M52" s="4" t="inlineStr">
        <is>
          <t>Não</t>
        </is>
      </c>
      <c r="N52" s="2">
        <f>IF(AND(H52=10,I52="Sim",LEN(TRIM(J52))&gt;0,LEN(TRIM(K52))&gt;0,LEN(TRIM(L52))&gt;0,M52="Sim"),"Concluída",IF(H52=10,"Revisão ou dependências pendentes",IF(H52&gt;0,"Em andamento","Pendente")))</f>
        <v/>
      </c>
    </row>
    <row r="53" ht="78" customHeight="1">
      <c r="A53" s="2" t="inlineStr">
        <is>
          <t>E052</t>
        </is>
      </c>
      <c r="B53" s="2" t="inlineStr">
        <is>
          <t>Campanhas e propostas</t>
        </is>
      </c>
      <c r="C53" s="2" t="inlineStr">
        <is>
          <t>Planejar campanhas e marcos de prazo</t>
        </is>
      </c>
      <c r="D53" s="2" t="inlineStr">
        <is>
          <t>Marketing, UX e Operação</t>
        </is>
      </c>
      <c r="E53" s="2" t="inlineStr">
        <is>
          <t>E007, E029, E048, E051</t>
        </is>
      </c>
      <c r="F53" s="2" t="inlineStr">
        <is>
          <t>Visão de campanhas com dependências de prazo</t>
        </is>
      </c>
      <c r="G53" s="2" t="inlineStr">
        <is>
          <t>Agenda separa datas confirmadas de estimadas e evidencia risco de não atender ao evento.</t>
        </is>
      </c>
      <c r="H53" s="2">
        <f>COUNTIFS(Subetapas!A$2:A$1001,A53,Subetapas!G$2:G$1001,1)</f>
        <v/>
      </c>
      <c r="I53" s="2">
        <f>IF(AND(N8="Concluída",N30="Concluída",N49="Concluída",N52="Concluída"),"Sim","Não")</f>
        <v/>
      </c>
      <c r="J53" s="4" t="inlineStr"/>
      <c r="K53" s="4" t="inlineStr"/>
      <c r="L53" s="4" t="inlineStr"/>
      <c r="M53" s="4" t="inlineStr">
        <is>
          <t>Não</t>
        </is>
      </c>
      <c r="N53" s="2">
        <f>IF(AND(H53=10,I53="Sim",LEN(TRIM(J53))&gt;0,LEN(TRIM(K53))&gt;0,LEN(TRIM(L53))&gt;0,M53="Sim"),"Concluída",IF(H53=10,"Revisão ou dependências pendentes",IF(H53&gt;0,"Em andamento","Pendente")))</f>
        <v/>
      </c>
    </row>
    <row r="54" ht="78" customHeight="1">
      <c r="A54" s="2" t="inlineStr">
        <is>
          <t>E053</t>
        </is>
      </c>
      <c r="B54" s="2" t="inlineStr">
        <is>
          <t>Campanhas e propostas</t>
        </is>
      </c>
      <c r="C54" s="2" t="inlineStr">
        <is>
          <t>Organizar biblioteca de marcas e arquivos</t>
        </is>
      </c>
      <c r="D54" s="2" t="inlineStr">
        <is>
          <t>Design, Marketing e Segurança</t>
        </is>
      </c>
      <c r="E54" s="2" t="inlineStr">
        <is>
          <t>E013, E016, E031, E051</t>
        </is>
      </c>
      <c r="F54" s="2" t="inlineStr">
        <is>
          <t>Biblioteca privada de ativos por cooperativa</t>
        </is>
      </c>
      <c r="G54" s="2" t="inlineStr">
        <is>
          <t>Arquivos têm proprietário, versão e permissão; um ativo de outra cooperativa não pode ser aplicado indevidamente.</t>
        </is>
      </c>
      <c r="H54" s="2">
        <f>COUNTIFS(Subetapas!A$2:A$1001,A54,Subetapas!G$2:G$1001,1)</f>
        <v/>
      </c>
      <c r="I54" s="2">
        <f>IF(AND(N14="Concluída",N17="Concluída",N32="Concluída",N52="Concluída"),"Sim","Não")</f>
        <v/>
      </c>
      <c r="J54" s="4" t="inlineStr"/>
      <c r="K54" s="4" t="inlineStr"/>
      <c r="L54" s="4" t="inlineStr"/>
      <c r="M54" s="4" t="inlineStr">
        <is>
          <t>Não</t>
        </is>
      </c>
      <c r="N54" s="2">
        <f>IF(AND(H54=10,I54="Sim",LEN(TRIM(J54))&gt;0,LEN(TRIM(K54))&gt;0,LEN(TRIM(L54))&gt;0,M54="Sim"),"Concluída",IF(H54=10,"Revisão ou dependências pendentes",IF(H54&gt;0,"Em andamento","Pendente")))</f>
        <v/>
      </c>
    </row>
    <row r="55" ht="78" customHeight="1">
      <c r="A55" s="2" t="inlineStr">
        <is>
          <t>E054</t>
        </is>
      </c>
      <c r="B55" s="2" t="inlineStr">
        <is>
          <t>Campanhas e propostas</t>
        </is>
      </c>
      <c r="C55" s="2" t="inlineStr">
        <is>
          <t>Produzir prova técnica da personalização</t>
        </is>
      </c>
      <c r="D55" s="2" t="inlineStr">
        <is>
          <t>Produção, Design e Frontend</t>
        </is>
      </c>
      <c r="E55" s="2" t="inlineStr">
        <is>
          <t>E047, E051, E053</t>
        </is>
      </c>
      <c r="F55" s="2" t="inlineStr">
        <is>
          <t>Prova técnica versionada por item</t>
        </is>
      </c>
      <c r="G55" s="2" t="inlineStr">
        <is>
          <t>Documento identifica produto, variante, técnica, dimensões e arquivo exato proposto para produção.</t>
        </is>
      </c>
      <c r="H55" s="2">
        <f>COUNTIFS(Subetapas!A$2:A$1001,A55,Subetapas!G$2:G$1001,1)</f>
        <v/>
      </c>
      <c r="I55" s="2">
        <f>IF(AND(N48="Concluída",N52="Concluída",N54="Concluída"),"Sim","Não")</f>
        <v/>
      </c>
      <c r="J55" s="4" t="inlineStr"/>
      <c r="K55" s="4" t="inlineStr"/>
      <c r="L55" s="4" t="inlineStr"/>
      <c r="M55" s="4" t="inlineStr">
        <is>
          <t>Não</t>
        </is>
      </c>
      <c r="N55" s="2">
        <f>IF(AND(H55=10,I55="Sim",LEN(TRIM(J55))&gt;0,LEN(TRIM(K55))&gt;0,LEN(TRIM(L55))&gt;0,M55="Sim"),"Concluída",IF(H55=10,"Revisão ou dependências pendentes",IF(H55&gt;0,"Em andamento","Pendente")))</f>
        <v/>
      </c>
    </row>
    <row r="56" ht="78" customHeight="1">
      <c r="A56" s="2" t="inlineStr">
        <is>
          <t>E055</t>
        </is>
      </c>
      <c r="B56" s="2" t="inlineStr">
        <is>
          <t>Campanhas e propostas</t>
        </is>
      </c>
      <c r="C56" s="2" t="inlineStr">
        <is>
          <t>Construir kits com composição verificável</t>
        </is>
      </c>
      <c r="D56" s="2" t="inlineStr">
        <is>
          <t>UX, Comercial e Frontend</t>
        </is>
      </c>
      <c r="E56" s="2" t="inlineStr">
        <is>
          <t>E046, E047, E048, E051</t>
        </is>
      </c>
      <c r="F56" s="2" t="inlineStr">
        <is>
          <t>Montador de kits com custo e restrições</t>
        </is>
      </c>
      <c r="G56" s="2" t="inlineStr">
        <is>
          <t>Composição respeita quantidades, mínimos, disponibilidade e embalagem; preço pode ser reproduzido por item.</t>
        </is>
      </c>
      <c r="H56" s="2">
        <f>COUNTIFS(Subetapas!A$2:A$1001,A56,Subetapas!G$2:G$1001,1)</f>
        <v/>
      </c>
      <c r="I56" s="2">
        <f>IF(AND(N47="Concluída",N48="Concluída",N49="Concluída",N52="Concluída"),"Sim","Não")</f>
        <v/>
      </c>
      <c r="J56" s="4" t="inlineStr"/>
      <c r="K56" s="4" t="inlineStr"/>
      <c r="L56" s="4" t="inlineStr"/>
      <c r="M56" s="4" t="inlineStr">
        <is>
          <t>Não</t>
        </is>
      </c>
      <c r="N56" s="2">
        <f>IF(AND(H56=10,I56="Sim",LEN(TRIM(J56))&gt;0,LEN(TRIM(K56))&gt;0,LEN(TRIM(L56))&gt;0,M56="Sim"),"Concluída",IF(H56=10,"Revisão ou dependências pendentes",IF(H56&gt;0,"Em andamento","Pendente")))</f>
        <v/>
      </c>
    </row>
    <row r="57" ht="78" customHeight="1">
      <c r="A57" s="2" t="inlineStr">
        <is>
          <t>E056</t>
        </is>
      </c>
      <c r="B57" s="2" t="inlineStr">
        <is>
          <t>Campanhas e propostas</t>
        </is>
      </c>
      <c r="C57" s="2" t="inlineStr">
        <is>
          <t>Planejar distribuição por PA e destino</t>
        </is>
      </c>
      <c r="D57" s="2" t="inlineStr">
        <is>
          <t>UX, Compras e Operação</t>
        </is>
      </c>
      <c r="E57" s="2" t="inlineStr">
        <is>
          <t>E011, E025, E027, E048, E051, E055</t>
        </is>
      </c>
      <c r="F57" s="2" t="inlineStr">
        <is>
          <t>Distribuição de quantidades e custos por destino</t>
        </is>
      </c>
      <c r="G57" s="2" t="inlineStr">
        <is>
          <t>A soma distribuída confere com o total; cada destino tem identificação, prazo e vínculo autorizado.</t>
        </is>
      </c>
      <c r="H57" s="2">
        <f>COUNTIFS(Subetapas!A$2:A$1001,A57,Subetapas!G$2:G$1001,1)</f>
        <v/>
      </c>
      <c r="I57" s="2">
        <f>IF(AND(N12="Concluída",N26="Concluída",N28="Concluída",N49="Concluída",N52="Concluída",N56="Concluída"),"Sim","Não")</f>
        <v/>
      </c>
      <c r="J57" s="4" t="inlineStr"/>
      <c r="K57" s="4" t="inlineStr"/>
      <c r="L57" s="4" t="inlineStr"/>
      <c r="M57" s="4" t="inlineStr">
        <is>
          <t>Não</t>
        </is>
      </c>
      <c r="N57" s="2">
        <f>IF(AND(H57=10,I57="Sim",LEN(TRIM(J57))&gt;0,LEN(TRIM(K57))&gt;0,LEN(TRIM(L57))&gt;0,M57="Sim"),"Concluída",IF(H57=10,"Revisão ou dependências pendentes",IF(H57&gt;0,"Em andamento","Pendente")))</f>
        <v/>
      </c>
    </row>
    <row r="58" ht="78" customHeight="1">
      <c r="A58" s="2" t="inlineStr">
        <is>
          <t>E057</t>
        </is>
      </c>
      <c r="B58" s="2" t="inlineStr">
        <is>
          <t>Campanhas e propostas</t>
        </is>
      </c>
      <c r="C58" s="2" t="inlineStr">
        <is>
          <t>Criar carrinho de solicitação institucional</t>
        </is>
      </c>
      <c r="D58" s="2" t="inlineStr">
        <is>
          <t>UX e Frontend</t>
        </is>
      </c>
      <c r="E58" s="2" t="inlineStr">
        <is>
          <t>E025, E046, E048, E050, E055, E056</t>
        </is>
      </c>
      <c r="F58" s="2" t="inlineStr">
        <is>
          <t>Carrinho vinculado ao contexto correto</t>
        </is>
      </c>
      <c r="G58" s="2" t="inlineStr">
        <is>
          <t>Itens, configurações e destinos persistem corretamente; alterações relevantes exigem recalcular a proposta.</t>
        </is>
      </c>
      <c r="H58" s="2">
        <f>COUNTIFS(Subetapas!A$2:A$1001,A58,Subetapas!G$2:G$1001,1)</f>
        <v/>
      </c>
      <c r="I58" s="2">
        <f>IF(AND(N26="Concluída",N47="Concluída",N49="Concluída",N51="Concluída",N56="Concluída",N57="Concluída"),"Sim","Não")</f>
        <v/>
      </c>
      <c r="J58" s="4" t="inlineStr"/>
      <c r="K58" s="4" t="inlineStr"/>
      <c r="L58" s="4" t="inlineStr"/>
      <c r="M58" s="4" t="inlineStr">
        <is>
          <t>Não</t>
        </is>
      </c>
      <c r="N58" s="2">
        <f>IF(AND(H58=10,I58="Sim",LEN(TRIM(J58))&gt;0,LEN(TRIM(K58))&gt;0,LEN(TRIM(L58))&gt;0,M58="Sim"),"Concluída",IF(H58=10,"Revisão ou dependências pendentes",IF(H58&gt;0,"Em andamento","Pendente")))</f>
        <v/>
      </c>
    </row>
    <row r="59" ht="78" customHeight="1">
      <c r="A59" s="2" t="inlineStr">
        <is>
          <t>E058</t>
        </is>
      </c>
      <c r="B59" s="2" t="inlineStr">
        <is>
          <t>Campanhas e propostas</t>
        </is>
      </c>
      <c r="C59" s="2" t="inlineStr">
        <is>
          <t>Apresentar orçamento com custo total claro</t>
        </is>
      </c>
      <c r="D59" s="2" t="inlineStr">
        <is>
          <t>UX, Comercial e Frontend</t>
        </is>
      </c>
      <c r="E59" s="2" t="inlineStr">
        <is>
          <t>E026, E048, E056, E057</t>
        </is>
      </c>
      <c r="F59" s="2" t="inlineStr">
        <is>
          <t>Resumo comercial completo e compreensível</t>
        </is>
      </c>
      <c r="G59" s="2" t="inlineStr">
        <is>
          <t>A soma de itens e encargos coincide com o total; não há custo obrigatório oculto no avanço.</t>
        </is>
      </c>
      <c r="H59" s="2">
        <f>COUNTIFS(Subetapas!A$2:A$1001,A59,Subetapas!G$2:G$1001,1)</f>
        <v/>
      </c>
      <c r="I59" s="2">
        <f>IF(AND(N27="Concluída",N49="Concluída",N57="Concluída",N58="Concluída"),"Sim","Não")</f>
        <v/>
      </c>
      <c r="J59" s="4" t="inlineStr"/>
      <c r="K59" s="4" t="inlineStr"/>
      <c r="L59" s="4" t="inlineStr"/>
      <c r="M59" s="4" t="inlineStr">
        <is>
          <t>Não</t>
        </is>
      </c>
      <c r="N59" s="2">
        <f>IF(AND(H59=10,I59="Sim",LEN(TRIM(J59))&gt;0,LEN(TRIM(K59))&gt;0,LEN(TRIM(L59))&gt;0,M59="Sim"),"Concluída",IF(H59=10,"Revisão ou dependências pendentes",IF(H59&gt;0,"Em andamento","Pendente")))</f>
        <v/>
      </c>
    </row>
    <row r="60" ht="78" customHeight="1">
      <c r="A60" s="2" t="inlineStr">
        <is>
          <t>E059</t>
        </is>
      </c>
      <c r="B60" s="2" t="inlineStr">
        <is>
          <t>Campanhas e propostas</t>
        </is>
      </c>
      <c r="C60" s="2" t="inlineStr">
        <is>
          <t>Versionar propostas e preservar decisões</t>
        </is>
      </c>
      <c r="D60" s="2" t="inlineStr">
        <is>
          <t>Backend, Comercial e UX</t>
        </is>
      </c>
      <c r="E60" s="2" t="inlineStr">
        <is>
          <t>E011, E018, E054, E058</t>
        </is>
      </c>
      <c r="F60" s="2" t="inlineStr">
        <is>
          <t>Proposta versionada com histórico imutável</t>
        </is>
      </c>
      <c r="G60" s="2" t="inlineStr">
        <is>
          <t>Pedido e aprovações referenciam a versão exata; atualização de catálogo não reescreve o histórico.</t>
        </is>
      </c>
      <c r="H60" s="2">
        <f>COUNTIFS(Subetapas!A$2:A$1001,A60,Subetapas!G$2:G$1001,1)</f>
        <v/>
      </c>
      <c r="I60" s="2">
        <f>IF(AND(N12="Concluída",N19="Concluída",N55="Concluída",N59="Concluída"),"Sim","Não")</f>
        <v/>
      </c>
      <c r="J60" s="4" t="inlineStr"/>
      <c r="K60" s="4" t="inlineStr"/>
      <c r="L60" s="4" t="inlineStr"/>
      <c r="M60" s="4" t="inlineStr">
        <is>
          <t>Não</t>
        </is>
      </c>
      <c r="N60" s="2">
        <f>IF(AND(H60=10,I60="Sim",LEN(TRIM(J60))&gt;0,LEN(TRIM(K60))&gt;0,LEN(TRIM(L60))&gt;0,M60="Sim"),"Concluída",IF(H60=10,"Revisão ou dependências pendentes",IF(H60&gt;0,"Em andamento","Pendente")))</f>
        <v/>
      </c>
    </row>
    <row r="61" ht="78" customHeight="1">
      <c r="A61" s="2" t="inlineStr">
        <is>
          <t>E060</t>
        </is>
      </c>
      <c r="B61" s="2" t="inlineStr">
        <is>
          <t>Campanhas e propostas</t>
        </is>
      </c>
      <c r="C61" s="2" t="inlineStr">
        <is>
          <t>Comparar cotações e justificar a escolha</t>
        </is>
      </c>
      <c r="D61" s="2" t="inlineStr">
        <is>
          <t>Compras, UX e Backend</t>
        </is>
      </c>
      <c r="E61" s="2" t="inlineStr">
        <is>
          <t>E008, E049, E058, E059</t>
        </is>
      </c>
      <c r="F61" s="2" t="inlineStr">
        <is>
          <t>Comparação comercial conforme política local</t>
        </is>
      </c>
      <c r="G61" s="2" t="inlineStr">
        <is>
          <t>Escolha considera bases equivalentes e reúne evidências exigidas pela cooperativa, incluindo exceções.</t>
        </is>
      </c>
      <c r="H61" s="2">
        <f>COUNTIFS(Subetapas!A$2:A$1001,A61,Subetapas!G$2:G$1001,1)</f>
        <v/>
      </c>
      <c r="I61" s="2">
        <f>IF(AND(N9="Concluída",N50="Concluída",N59="Concluída",N60="Concluída"),"Sim","Não")</f>
        <v/>
      </c>
      <c r="J61" s="4" t="inlineStr"/>
      <c r="K61" s="4" t="inlineStr"/>
      <c r="L61" s="4" t="inlineStr"/>
      <c r="M61" s="4" t="inlineStr">
        <is>
          <t>Não</t>
        </is>
      </c>
      <c r="N61" s="2">
        <f>IF(AND(H61=10,I61="Sim",LEN(TRIM(J61))&gt;0,LEN(TRIM(K61))&gt;0,LEN(TRIM(L61))&gt;0,M61="Sim"),"Concluída",IF(H61=10,"Revisão ou dependências pendentes",IF(H61&gt;0,"Em andamento","Pendente")))</f>
        <v/>
      </c>
    </row>
    <row r="62" ht="78" customHeight="1">
      <c r="A62" s="2" t="inlineStr">
        <is>
          <t>E061</t>
        </is>
      </c>
      <c r="B62" s="2" t="inlineStr">
        <is>
          <t>Governança e aprovações</t>
        </is>
      </c>
      <c r="C62" s="2" t="inlineStr">
        <is>
          <t>Formalizar a solicitação de compra</t>
        </is>
      </c>
      <c r="D62" s="2" t="inlineStr">
        <is>
          <t>UX, Frontend e Backend</t>
        </is>
      </c>
      <c r="E62" s="2" t="inlineStr">
        <is>
          <t>E008, E017, E018, E057, E059, E060</t>
        </is>
      </c>
      <c r="F62" s="2" t="inlineStr">
        <is>
          <t>Solicitação completa e rastreável</t>
        </is>
      </c>
      <c r="G62" s="2" t="inlineStr">
        <is>
          <t>Envio registra contexto, versão, justificativa e destinatário; repetição não cria solicitações duplicadas.</t>
        </is>
      </c>
      <c r="H62" s="2">
        <f>COUNTIFS(Subetapas!A$2:A$1001,A62,Subetapas!G$2:G$1001,1)</f>
        <v/>
      </c>
      <c r="I62" s="2">
        <f>IF(AND(N9="Concluída",N18="Concluída",N19="Concluída",N58="Concluída",N60="Concluída",N61="Concluída"),"Sim","Não")</f>
        <v/>
      </c>
      <c r="J62" s="4" t="inlineStr"/>
      <c r="K62" s="4" t="inlineStr"/>
      <c r="L62" s="4" t="inlineStr"/>
      <c r="M62" s="4" t="inlineStr">
        <is>
          <t>Não</t>
        </is>
      </c>
      <c r="N62" s="2">
        <f>IF(AND(H62=10,I62="Sim",LEN(TRIM(J62))&gt;0,LEN(TRIM(K62))&gt;0,LEN(TRIM(L62))&gt;0,M62="Sim"),"Concluída",IF(H62=10,"Revisão ou dependências pendentes",IF(H62&gt;0,"Em andamento","Pendente")))</f>
        <v/>
      </c>
    </row>
    <row r="63" ht="78" customHeight="1">
      <c r="A63" s="2" t="inlineStr">
        <is>
          <t>E062</t>
        </is>
      </c>
      <c r="B63" s="2" t="inlineStr">
        <is>
          <t>Governança e aprovações</t>
        </is>
      </c>
      <c r="C63" s="2" t="inlineStr">
        <is>
          <t>Construir a experiência de verba e saldo</t>
        </is>
      </c>
      <c r="D63" s="2" t="inlineStr">
        <is>
          <t>UX, Financeiro e Frontend</t>
        </is>
      </c>
      <c r="E63" s="2" t="inlineStr">
        <is>
          <t>E017, E025, E033, E038, E042, E061</t>
        </is>
      </c>
      <c r="F63" s="2" t="inlineStr">
        <is>
          <t>Carteira de verba compreensível</t>
        </is>
      </c>
      <c r="G63" s="2" t="inlineStr">
        <is>
          <t>Saldo, período e movimentos conciliam com o contrato financeiro; nenhum número fixo substitui dados reais.</t>
        </is>
      </c>
      <c r="H63" s="2">
        <f>COUNTIFS(Subetapas!A$2:A$1001,A63,Subetapas!G$2:G$1001,1)</f>
        <v/>
      </c>
      <c r="I63" s="2">
        <f>IF(AND(N18="Concluída",N26="Concluída",N34="Concluída",N39="Concluída",N43="Concluída",N62="Concluída"),"Sim","Não")</f>
        <v/>
      </c>
      <c r="J63" s="4" t="inlineStr"/>
      <c r="K63" s="4" t="inlineStr"/>
      <c r="L63" s="4" t="inlineStr"/>
      <c r="M63" s="4" t="inlineStr">
        <is>
          <t>Não</t>
        </is>
      </c>
      <c r="N63" s="2">
        <f>IF(AND(H63=10,I63="Sim",LEN(TRIM(J63))&gt;0,LEN(TRIM(K63))&gt;0,LEN(TRIM(L63))&gt;0,M63="Sim"),"Concluída",IF(H63=10,"Revisão ou dependências pendentes",IF(H63&gt;0,"Em andamento","Pendente")))</f>
        <v/>
      </c>
    </row>
    <row r="64" ht="78" customHeight="1">
      <c r="A64" s="2" t="inlineStr">
        <is>
          <t>E063</t>
        </is>
      </c>
      <c r="B64" s="2" t="inlineStr">
        <is>
          <t>Governança e aprovações</t>
        </is>
      </c>
      <c r="C64" s="2" t="inlineStr">
        <is>
          <t>Criar fila de aprovações orientada a decisão</t>
        </is>
      </c>
      <c r="D64" s="2" t="inlineStr">
        <is>
          <t>UX, Compras e Frontend</t>
        </is>
      </c>
      <c r="E64" s="2" t="inlineStr">
        <is>
          <t>E012, E029, E038, E059, E061, E062</t>
        </is>
      </c>
      <c r="F64" s="2" t="inlineStr">
        <is>
          <t>Fila de decisões com contexto e prioridade</t>
        </is>
      </c>
      <c r="G64" s="2" t="inlineStr">
        <is>
          <t>Aprovador identifica pendência, versão e risco de prazo sem abrir várias telas para obter dados básicos.</t>
        </is>
      </c>
      <c r="H64" s="2">
        <f>COUNTIFS(Subetapas!A$2:A$1001,A64,Subetapas!G$2:G$1001,1)</f>
        <v/>
      </c>
      <c r="I64" s="2">
        <f>IF(AND(N13="Concluída",N30="Concluída",N39="Concluída",N60="Concluída",N62="Concluída",N63="Concluída"),"Sim","Não")</f>
        <v/>
      </c>
      <c r="J64" s="4" t="inlineStr"/>
      <c r="K64" s="4" t="inlineStr"/>
      <c r="L64" s="4" t="inlineStr"/>
      <c r="M64" s="4" t="inlineStr">
        <is>
          <t>Não</t>
        </is>
      </c>
      <c r="N64" s="2">
        <f>IF(AND(H64=10,I64="Sim",LEN(TRIM(J64))&gt;0,LEN(TRIM(K64))&gt;0,LEN(TRIM(L64))&gt;0,M64="Sim"),"Concluída",IF(H64=10,"Revisão ou dependências pendentes",IF(H64&gt;0,"Em andamento","Pendente")))</f>
        <v/>
      </c>
    </row>
    <row r="65" ht="78" customHeight="1">
      <c r="A65" s="2" t="inlineStr">
        <is>
          <t>E064</t>
        </is>
      </c>
      <c r="B65" s="2" t="inlineStr">
        <is>
          <t>Governança e aprovações</t>
        </is>
      </c>
      <c r="C65" s="2" t="inlineStr">
        <is>
          <t>Implementar decisão financeira compreensível</t>
        </is>
      </c>
      <c r="D65" s="2" t="inlineStr">
        <is>
          <t>UX, Backend e Aprovadores</t>
        </is>
      </c>
      <c r="E65" s="2" t="inlineStr">
        <is>
          <t>E018, E058, E060, E062, E063</t>
        </is>
      </c>
      <c r="F65" s="2" t="inlineStr">
        <is>
          <t>Tela e transação de autorização de despesa</t>
        </is>
      </c>
      <c r="G65" s="2" t="inlineStr">
        <is>
          <t>Aprovador decide a versão apresentada dentro da alçada; resultado e impacto na verba são inequívocos.</t>
        </is>
      </c>
      <c r="H65" s="2">
        <f>COUNTIFS(Subetapas!A$2:A$1001,A65,Subetapas!G$2:G$1001,1)</f>
        <v/>
      </c>
      <c r="I65" s="2">
        <f>IF(AND(N19="Concluída",N59="Concluída",N61="Concluída",N63="Concluída",N64="Concluída"),"Sim","Não")</f>
        <v/>
      </c>
      <c r="J65" s="4" t="inlineStr"/>
      <c r="K65" s="4" t="inlineStr"/>
      <c r="L65" s="4" t="inlineStr"/>
      <c r="M65" s="4" t="inlineStr">
        <is>
          <t>Não</t>
        </is>
      </c>
      <c r="N65" s="2">
        <f>IF(AND(H65=10,I65="Sim",LEN(TRIM(J65))&gt;0,LEN(TRIM(K65))&gt;0,LEN(TRIM(L65))&gt;0,M65="Sim"),"Concluída",IF(H65=10,"Revisão ou dependências pendentes",IF(H65&gt;0,"Em andamento","Pendente")))</f>
        <v/>
      </c>
    </row>
    <row r="66" ht="78" customHeight="1">
      <c r="A66" s="2" t="inlineStr">
        <is>
          <t>E065</t>
        </is>
      </c>
      <c r="B66" s="2" t="inlineStr">
        <is>
          <t>Governança e aprovações</t>
        </is>
      </c>
      <c r="C66" s="2" t="inlineStr">
        <is>
          <t>Implementar aprovação formal da arte</t>
        </is>
      </c>
      <c r="D66" s="2" t="inlineStr">
        <is>
          <t>Marketing, Produção e UX</t>
        </is>
      </c>
      <c r="E66" s="2" t="inlineStr">
        <is>
          <t>E012, E018, E053, E054, E059, E063</t>
        </is>
      </c>
      <c r="F66" s="2" t="inlineStr">
        <is>
          <t>Aceite de arte vinculado à produção</t>
        </is>
      </c>
      <c r="G66" s="2" t="inlineStr">
        <is>
          <t>Aprovação referencia arquivo e especificação exatos; não equivale automaticamente a autorização de despesa.</t>
        </is>
      </c>
      <c r="H66" s="2">
        <f>COUNTIFS(Subetapas!A$2:A$1001,A66,Subetapas!G$2:G$1001,1)</f>
        <v/>
      </c>
      <c r="I66" s="2">
        <f>IF(AND(N13="Concluída",N19="Concluída",N54="Concluída",N55="Concluída",N60="Concluída",N64="Concluída"),"Sim","Não")</f>
        <v/>
      </c>
      <c r="J66" s="4" t="inlineStr"/>
      <c r="K66" s="4" t="inlineStr"/>
      <c r="L66" s="4" t="inlineStr"/>
      <c r="M66" s="4" t="inlineStr">
        <is>
          <t>Não</t>
        </is>
      </c>
      <c r="N66" s="2">
        <f>IF(AND(H66=10,I66="Sim",LEN(TRIM(J66))&gt;0,LEN(TRIM(K66))&gt;0,LEN(TRIM(L66))&gt;0,M66="Sim"),"Concluída",IF(H66=10,"Revisão ou dependências pendentes",IF(H66&gt;0,"Em andamento","Pendente")))</f>
        <v/>
      </c>
    </row>
    <row r="67" ht="78" customHeight="1">
      <c r="A67" s="2" t="inlineStr">
        <is>
          <t>E066</t>
        </is>
      </c>
      <c r="B67" s="2" t="inlineStr">
        <is>
          <t>Governança e aprovações</t>
        </is>
      </c>
      <c r="C67" s="2" t="inlineStr">
        <is>
          <t>Tratar exceções sem perder governança</t>
        </is>
      </c>
      <c r="D67" s="2" t="inlineStr">
        <is>
          <t>Produto, Compras e UX</t>
        </is>
      </c>
      <c r="E67" s="2" t="inlineStr">
        <is>
          <t>E008, E018, E060, E064, E065</t>
        </is>
      </c>
      <c r="F67" s="2" t="inlineStr">
        <is>
          <t>Fluxo explícito de exceções autorizadas</t>
        </is>
      </c>
      <c r="G67" s="2" t="inlineStr">
        <is>
          <t>Exceção possui motivo, autoridade, validade e efeito; não contorna isolamento ou proteção de dados.</t>
        </is>
      </c>
      <c r="H67" s="2">
        <f>COUNTIFS(Subetapas!A$2:A$1001,A67,Subetapas!G$2:G$1001,1)</f>
        <v/>
      </c>
      <c r="I67" s="2">
        <f>IF(AND(N9="Concluída",N19="Concluída",N61="Concluída",N65="Concluída",N66="Concluída"),"Sim","Não")</f>
        <v/>
      </c>
      <c r="J67" s="4" t="inlineStr"/>
      <c r="K67" s="4" t="inlineStr"/>
      <c r="L67" s="4" t="inlineStr"/>
      <c r="M67" s="4" t="inlineStr">
        <is>
          <t>Não</t>
        </is>
      </c>
      <c r="N67" s="2">
        <f>IF(AND(H67=10,I67="Sim",LEN(TRIM(J67))&gt;0,LEN(TRIM(K67))&gt;0,LEN(TRIM(L67))&gt;0,M67="Sim"),"Concluída",IF(H67=10,"Revisão ou dependências pendentes",IF(H67&gt;0,"Em andamento","Pendente")))</f>
        <v/>
      </c>
    </row>
    <row r="68" ht="78" customHeight="1">
      <c r="A68" s="2" t="inlineStr">
        <is>
          <t>E067</t>
        </is>
      </c>
      <c r="B68" s="2" t="inlineStr">
        <is>
          <t>Governança e aprovações</t>
        </is>
      </c>
      <c r="C68" s="2" t="inlineStr">
        <is>
          <t>Administrar substituições e delegações temporárias</t>
        </is>
      </c>
      <c r="D68" s="2" t="inlineStr">
        <is>
          <t>Segurança, Compras e UX</t>
        </is>
      </c>
      <c r="E68" s="2" t="inlineStr">
        <is>
          <t>E008, E012, E016, E063, E066</t>
        </is>
      </c>
      <c r="F68" s="2" t="inlineStr">
        <is>
          <t>Delegação com escopo e prazo definidos</t>
        </is>
      </c>
      <c r="G68" s="2" t="inlineStr">
        <is>
          <t>Substituto só atua nas competências delegadas e dentro da vigência; histórico identifica delegação e ator real.</t>
        </is>
      </c>
      <c r="H68" s="2">
        <f>COUNTIFS(Subetapas!A$2:A$1001,A68,Subetapas!G$2:G$1001,1)</f>
        <v/>
      </c>
      <c r="I68" s="2">
        <f>IF(AND(N9="Concluída",N13="Concluída",N17="Concluída",N64="Concluída",N67="Concluída"),"Sim","Não")</f>
        <v/>
      </c>
      <c r="J68" s="4" t="inlineStr"/>
      <c r="K68" s="4" t="inlineStr"/>
      <c r="L68" s="4" t="inlineStr"/>
      <c r="M68" s="4" t="inlineStr">
        <is>
          <t>Não</t>
        </is>
      </c>
      <c r="N68" s="2">
        <f>IF(AND(H68=10,I68="Sim",LEN(TRIM(J68))&gt;0,LEN(TRIM(K68))&gt;0,LEN(TRIM(L68))&gt;0,M68="Sim"),"Concluída",IF(H68=10,"Revisão ou dependências pendentes",IF(H68&gt;0,"Em andamento","Pendente")))</f>
        <v/>
      </c>
    </row>
    <row r="69" ht="78" customHeight="1">
      <c r="A69" s="2" t="inlineStr">
        <is>
          <t>E068</t>
        </is>
      </c>
      <c r="B69" s="2" t="inlineStr">
        <is>
          <t>Governança e aprovações</t>
        </is>
      </c>
      <c r="C69" s="2" t="inlineStr">
        <is>
          <t>Tornar o histórico de decisões auditável</t>
        </is>
      </c>
      <c r="D69" s="2" t="inlineStr">
        <is>
          <t>Backend, UX e Auditoria</t>
        </is>
      </c>
      <c r="E69" s="2" t="inlineStr">
        <is>
          <t>E017, E018, E059, E064, E065, E066, E067</t>
        </is>
      </c>
      <c r="F69" s="2" t="inlineStr">
        <is>
          <t>Histórico pesquisável de decisões e versões</t>
        </is>
      </c>
      <c r="G69" s="2" t="inlineStr">
        <is>
          <t>É possível reconstruir o que foi decidido, por quem, em qual contexto e com quais documentos.</t>
        </is>
      </c>
      <c r="H69" s="2">
        <f>COUNTIFS(Subetapas!A$2:A$1001,A69,Subetapas!G$2:G$1001,1)</f>
        <v/>
      </c>
      <c r="I69" s="2">
        <f>IF(AND(N18="Concluída",N19="Concluída",N60="Concluída",N65="Concluída",N66="Concluída",N67="Concluída",N68="Concluída"),"Sim","Não")</f>
        <v/>
      </c>
      <c r="J69" s="4" t="inlineStr"/>
      <c r="K69" s="4" t="inlineStr"/>
      <c r="L69" s="4" t="inlineStr"/>
      <c r="M69" s="4" t="inlineStr">
        <is>
          <t>Não</t>
        </is>
      </c>
      <c r="N69" s="2">
        <f>IF(AND(H69=10,I69="Sim",LEN(TRIM(J69))&gt;0,LEN(TRIM(K69))&gt;0,LEN(TRIM(L69))&gt;0,M69="Sim"),"Concluída",IF(H69=10,"Revisão ou dependências pendentes",IF(H69&gt;0,"Em andamento","Pendente")))</f>
        <v/>
      </c>
    </row>
    <row r="70" ht="78" customHeight="1">
      <c r="A70" s="2" t="inlineStr">
        <is>
          <t>E069</t>
        </is>
      </c>
      <c r="B70" s="2" t="inlineStr">
        <is>
          <t>Governança e aprovações</t>
        </is>
      </c>
      <c r="C70" s="2" t="inlineStr">
        <is>
          <t>Controlar revisões e cancelamentos</t>
        </is>
      </c>
      <c r="D70" s="2" t="inlineStr">
        <is>
          <t>UX, Backend e Operação</t>
        </is>
      </c>
      <c r="E70" s="2" t="inlineStr">
        <is>
          <t>E017, E059, E064, E065, E068</t>
        </is>
      </c>
      <c r="F70" s="2" t="inlineStr">
        <is>
          <t>Mudança de pedido com impacto explícito</t>
        </is>
      </c>
      <c r="G70" s="2" t="inlineStr">
        <is>
          <t>Revisão ou cancelamento respeita estágio operacional, recalcula compromissos e preserva aprovações anteriores.</t>
        </is>
      </c>
      <c r="H70" s="2">
        <f>COUNTIFS(Subetapas!A$2:A$1001,A70,Subetapas!G$2:G$1001,1)</f>
        <v/>
      </c>
      <c r="I70" s="2">
        <f>IF(AND(N18="Concluída",N60="Concluída",N65="Concluída",N66="Concluída",N69="Concluída"),"Sim","Não")</f>
        <v/>
      </c>
      <c r="J70" s="4" t="inlineStr"/>
      <c r="K70" s="4" t="inlineStr"/>
      <c r="L70" s="4" t="inlineStr"/>
      <c r="M70" s="4" t="inlineStr">
        <is>
          <t>Não</t>
        </is>
      </c>
      <c r="N70" s="2">
        <f>IF(AND(H70=10,I70="Sim",LEN(TRIM(J70))&gt;0,LEN(TRIM(K70))&gt;0,LEN(TRIM(L70))&gt;0,M70="Sim"),"Concluída",IF(H70=10,"Revisão ou dependências pendentes",IF(H70&gt;0,"Em andamento","Pendente")))</f>
        <v/>
      </c>
    </row>
    <row r="71" ht="78" customHeight="1">
      <c r="A71" s="2" t="inlineStr">
        <is>
          <t>E070</t>
        </is>
      </c>
      <c r="B71" s="2" t="inlineStr">
        <is>
          <t>Governança e aprovações</t>
        </is>
      </c>
      <c r="C71" s="2" t="inlineStr">
        <is>
          <t>Implementar acompanhamento do ciclo do pedido</t>
        </is>
      </c>
      <c r="D71" s="2" t="inlineStr">
        <is>
          <t>UX, Backend e Frontend</t>
        </is>
      </c>
      <c r="E71" s="2" t="inlineStr">
        <is>
          <t>E007, E029, E061, E064, E065, E068, E069</t>
        </is>
      </c>
      <c r="F71" s="2" t="inlineStr">
        <is>
          <t>Ciclo operacional com estado e próxima ação</t>
        </is>
      </c>
      <c r="G71" s="2" t="inlineStr">
        <is>
          <t>Frontend e backend usam estados compatíveis; uma etapa só avança mediante evento operacional válido.</t>
        </is>
      </c>
      <c r="H71" s="2">
        <f>COUNTIFS(Subetapas!A$2:A$1001,A71,Subetapas!G$2:G$1001,1)</f>
        <v/>
      </c>
      <c r="I71" s="2">
        <f>IF(AND(N8="Concluída",N30="Concluída",N62="Concluída",N65="Concluída",N66="Concluída",N69="Concluída",N70="Concluída"),"Sim","Não")</f>
        <v/>
      </c>
      <c r="J71" s="4" t="inlineStr"/>
      <c r="K71" s="4" t="inlineStr"/>
      <c r="L71" s="4" t="inlineStr"/>
      <c r="M71" s="4" t="inlineStr">
        <is>
          <t>Não</t>
        </is>
      </c>
      <c r="N71" s="2">
        <f>IF(AND(H71=10,I71="Sim",LEN(TRIM(J71))&gt;0,LEN(TRIM(K71))&gt;0,LEN(TRIM(L71))&gt;0,M71="Sim"),"Concluída",IF(H71=10,"Revisão ou dependências pendentes",IF(H71&gt;0,"Em andamento","Pendente")))</f>
        <v/>
      </c>
    </row>
    <row r="72" ht="78" customHeight="1">
      <c r="A72" s="2" t="inlineStr">
        <is>
          <t>E071</t>
        </is>
      </c>
      <c r="B72" s="2" t="inlineStr">
        <is>
          <t>Execução e pós-compra</t>
        </is>
      </c>
      <c r="C72" s="2" t="inlineStr">
        <is>
          <t>Formalizar a passagem do pedido ao fornecedor</t>
        </is>
      </c>
      <c r="D72" s="2" t="inlineStr">
        <is>
          <t>Operação, Comercial e Backend</t>
        </is>
      </c>
      <c r="E72" s="2" t="inlineStr">
        <is>
          <t>E007, E059, E064, E065, E070</t>
        </is>
      </c>
      <c r="F72" s="2" t="inlineStr">
        <is>
          <t>Ordem de produção ou fornecimento inequívoca</t>
        </is>
      </c>
      <c r="G72" s="2" t="inlineStr">
        <is>
          <t>Fornecedor recebe a proposta, arte e distribuição aprovadas; aceite operacional é registrado.</t>
        </is>
      </c>
      <c r="H72" s="2">
        <f>COUNTIFS(Subetapas!A$2:A$1001,A72,Subetapas!G$2:G$1001,1)</f>
        <v/>
      </c>
      <c r="I72" s="2">
        <f>IF(AND(N8="Concluída",N60="Concluída",N65="Concluída",N66="Concluída",N71="Concluída"),"Sim","Não")</f>
        <v/>
      </c>
      <c r="J72" s="4" t="inlineStr"/>
      <c r="K72" s="4" t="inlineStr"/>
      <c r="L72" s="4" t="inlineStr"/>
      <c r="M72" s="4" t="inlineStr">
        <is>
          <t>Não</t>
        </is>
      </c>
      <c r="N72" s="2">
        <f>IF(AND(H72=10,I72="Sim",LEN(TRIM(J72))&gt;0,LEN(TRIM(K72))&gt;0,LEN(TRIM(L72))&gt;0,M72="Sim"),"Concluída",IF(H72=10,"Revisão ou dependências pendentes",IF(H72&gt;0,"Em andamento","Pendente")))</f>
        <v/>
      </c>
    </row>
    <row r="73" ht="78" customHeight="1">
      <c r="A73" s="2" t="inlineStr">
        <is>
          <t>E072</t>
        </is>
      </c>
      <c r="B73" s="2" t="inlineStr">
        <is>
          <t>Execução e pós-compra</t>
        </is>
      </c>
      <c r="C73" s="2" t="inlineStr">
        <is>
          <t>Acompanhar produção e controle de qualidade</t>
        </is>
      </c>
      <c r="D73" s="2" t="inlineStr">
        <is>
          <t>Operação, Produção e UX</t>
        </is>
      </c>
      <c r="E73" s="2" t="inlineStr">
        <is>
          <t>E054, E065, E070, E071</t>
        </is>
      </c>
      <c r="F73" s="2" t="inlineStr">
        <is>
          <t>Marcos de produção baseados em confirmação</t>
        </is>
      </c>
      <c r="G73" s="2" t="inlineStr">
        <is>
          <t>Status e previsão refletem eventos reais; desvio relevante gera comunicação e tratamento definidos.</t>
        </is>
      </c>
      <c r="H73" s="2">
        <f>COUNTIFS(Subetapas!A$2:A$1001,A73,Subetapas!G$2:G$1001,1)</f>
        <v/>
      </c>
      <c r="I73" s="2">
        <f>IF(AND(N55="Concluída",N66="Concluída",N71="Concluída",N72="Concluída"),"Sim","Não")</f>
        <v/>
      </c>
      <c r="J73" s="4" t="inlineStr"/>
      <c r="K73" s="4" t="inlineStr"/>
      <c r="L73" s="4" t="inlineStr"/>
      <c r="M73" s="4" t="inlineStr">
        <is>
          <t>Não</t>
        </is>
      </c>
      <c r="N73" s="2">
        <f>IF(AND(H73=10,I73="Sim",LEN(TRIM(J73))&gt;0,LEN(TRIM(K73))&gt;0,LEN(TRIM(L73))&gt;0,M73="Sim"),"Concluída",IF(H73=10,"Revisão ou dependências pendentes",IF(H73&gt;0,"Em andamento","Pendente")))</f>
        <v/>
      </c>
    </row>
    <row r="74" ht="78" customHeight="1">
      <c r="A74" s="2" t="inlineStr">
        <is>
          <t>E073</t>
        </is>
      </c>
      <c r="B74" s="2" t="inlineStr">
        <is>
          <t>Execução e pós-compra</t>
        </is>
      </c>
      <c r="C74" s="2" t="inlineStr">
        <is>
          <t>Reconfirmar disponibilidade sem escrever no catálogo</t>
        </is>
      </c>
      <c r="D74" s="2" t="inlineStr">
        <is>
          <t>Comercial, Operação e Backend</t>
        </is>
      </c>
      <c r="E74" s="2" t="inlineStr">
        <is>
          <t>E003, E048, E059, E069, E071</t>
        </is>
      </c>
      <c r="F74" s="2" t="inlineStr">
        <is>
          <t>Processo de reconfirmação de oferta</t>
        </is>
      </c>
      <c r="G74" s="2" t="inlineStr">
        <is>
          <t>Consulta não é apresentada como reserva; indisponibilidade resulta em revisão autorizada ou alternativa.</t>
        </is>
      </c>
      <c r="H74" s="2">
        <f>COUNTIFS(Subetapas!A$2:A$1001,A74,Subetapas!G$2:G$1001,1)</f>
        <v/>
      </c>
      <c r="I74" s="2">
        <f>IF(AND(N4="Concluída",N49="Concluída",N60="Concluída",N70="Concluída",N72="Concluída"),"Sim","Não")</f>
        <v/>
      </c>
      <c r="J74" s="4" t="inlineStr"/>
      <c r="K74" s="4" t="inlineStr"/>
      <c r="L74" s="4" t="inlineStr"/>
      <c r="M74" s="4" t="inlineStr">
        <is>
          <t>Não</t>
        </is>
      </c>
      <c r="N74" s="2">
        <f>IF(AND(H74=10,I74="Sim",LEN(TRIM(J74))&gt;0,LEN(TRIM(K74))&gt;0,LEN(TRIM(L74))&gt;0,M74="Sim"),"Concluída",IF(H74=10,"Revisão ou dependências pendentes",IF(H74&gt;0,"Em andamento","Pendente")))</f>
        <v/>
      </c>
    </row>
    <row r="75" ht="78" customHeight="1">
      <c r="A75" s="2" t="inlineStr">
        <is>
          <t>E074</t>
        </is>
      </c>
      <c r="B75" s="2" t="inlineStr">
        <is>
          <t>Execução e pós-compra</t>
        </is>
      </c>
      <c r="C75" s="2" t="inlineStr">
        <is>
          <t>Preparar expedição e entregas por destino</t>
        </is>
      </c>
      <c r="D75" s="2" t="inlineStr">
        <is>
          <t>Logística, UX e Backend</t>
        </is>
      </c>
      <c r="E75" s="2" t="inlineStr">
        <is>
          <t>E056, E070, E071, E072, E073</t>
        </is>
      </c>
      <c r="F75" s="2" t="inlineStr">
        <is>
          <t>Plano de expedição por volume e destino</t>
        </is>
      </c>
      <c r="G75" s="2" t="inlineStr">
        <is>
          <t>Quantidades expedidas e documentos correspondem ao pedido; expedição parcial mantém saldo rastreável.</t>
        </is>
      </c>
      <c r="H75" s="2">
        <f>COUNTIFS(Subetapas!A$2:A$1001,A75,Subetapas!G$2:G$1001,1)</f>
        <v/>
      </c>
      <c r="I75" s="2">
        <f>IF(AND(N57="Concluída",N71="Concluída",N72="Concluída",N73="Concluída",N74="Concluída"),"Sim","Não")</f>
        <v/>
      </c>
      <c r="J75" s="4" t="inlineStr"/>
      <c r="K75" s="4" t="inlineStr"/>
      <c r="L75" s="4" t="inlineStr"/>
      <c r="M75" s="4" t="inlineStr">
        <is>
          <t>Não</t>
        </is>
      </c>
      <c r="N75" s="2">
        <f>IF(AND(H75=10,I75="Sim",LEN(TRIM(J75))&gt;0,LEN(TRIM(K75))&gt;0,LEN(TRIM(L75))&gt;0,M75="Sim"),"Concluída",IF(H75=10,"Revisão ou dependências pendentes",IF(H75&gt;0,"Em andamento","Pendente")))</f>
        <v/>
      </c>
    </row>
    <row r="76" ht="78" customHeight="1">
      <c r="A76" s="2" t="inlineStr">
        <is>
          <t>E075</t>
        </is>
      </c>
      <c r="B76" s="2" t="inlineStr">
        <is>
          <t>Execução e pós-compra</t>
        </is>
      </c>
      <c r="C76" s="2" t="inlineStr">
        <is>
          <t>Oferecer rastreio e previsão confiáveis</t>
        </is>
      </c>
      <c r="D76" s="2" t="inlineStr">
        <is>
          <t>UX, Logística e Frontend</t>
        </is>
      </c>
      <c r="E76" s="2" t="inlineStr">
        <is>
          <t>E029, E038, E070, E074</t>
        </is>
      </c>
      <c r="F76" s="2" t="inlineStr">
        <is>
          <t>Acompanhamento por entrega e ocorrência</t>
        </is>
      </c>
      <c r="G76" s="2" t="inlineStr">
        <is>
          <t>Dados de rastreio têm origem e atualização identificadas; entrega atrasada não aparece como concluída.</t>
        </is>
      </c>
      <c r="H76" s="2">
        <f>COUNTIFS(Subetapas!A$2:A$1001,A76,Subetapas!G$2:G$1001,1)</f>
        <v/>
      </c>
      <c r="I76" s="2">
        <f>IF(AND(N30="Concluída",N39="Concluída",N71="Concluída",N75="Concluída"),"Sim","Não")</f>
        <v/>
      </c>
      <c r="J76" s="4" t="inlineStr"/>
      <c r="K76" s="4" t="inlineStr"/>
      <c r="L76" s="4" t="inlineStr"/>
      <c r="M76" s="4" t="inlineStr">
        <is>
          <t>Não</t>
        </is>
      </c>
      <c r="N76" s="2">
        <f>IF(AND(H76=10,I76="Sim",LEN(TRIM(J76))&gt;0,LEN(TRIM(K76))&gt;0,LEN(TRIM(L76))&gt;0,M76="Sim"),"Concluída",IF(H76=10,"Revisão ou dependências pendentes",IF(H76&gt;0,"Em andamento","Pendente")))</f>
        <v/>
      </c>
    </row>
    <row r="77" ht="78" customHeight="1">
      <c r="A77" s="2" t="inlineStr">
        <is>
          <t>E076</t>
        </is>
      </c>
      <c r="B77" s="2" t="inlineStr">
        <is>
          <t>Execução e pós-compra</t>
        </is>
      </c>
      <c r="C77" s="2" t="inlineStr">
        <is>
          <t>Registrar recebimento e conferência</t>
        </is>
      </c>
      <c r="D77" s="2" t="inlineStr">
        <is>
          <t>Operação do PA, UX e Backend</t>
        </is>
      </c>
      <c r="E77" s="2" t="inlineStr">
        <is>
          <t>E012, E068, E074, E075</t>
        </is>
      </c>
      <c r="F77" s="2" t="inlineStr">
        <is>
          <t>Recebimento por quantidade e destino</t>
        </is>
      </c>
      <c r="G77" s="2" t="inlineStr">
        <is>
          <t>Conferência registra o que realmente chegou; confirmação indevida não encerra saldo pendente.</t>
        </is>
      </c>
      <c r="H77" s="2">
        <f>COUNTIFS(Subetapas!A$2:A$1001,A77,Subetapas!G$2:G$1001,1)</f>
        <v/>
      </c>
      <c r="I77" s="2">
        <f>IF(AND(N13="Concluída",N69="Concluída",N75="Concluída",N76="Concluída"),"Sim","Não")</f>
        <v/>
      </c>
      <c r="J77" s="4" t="inlineStr"/>
      <c r="K77" s="4" t="inlineStr"/>
      <c r="L77" s="4" t="inlineStr"/>
      <c r="M77" s="4" t="inlineStr">
        <is>
          <t>Não</t>
        </is>
      </c>
      <c r="N77" s="2">
        <f>IF(AND(H77=10,I77="Sim",LEN(TRIM(J77))&gt;0,LEN(TRIM(K77))&gt;0,LEN(TRIM(L77))&gt;0,M77="Sim"),"Concluída",IF(H77=10,"Revisão ou dependências pendentes",IF(H77&gt;0,"Em andamento","Pendente")))</f>
        <v/>
      </c>
    </row>
    <row r="78" ht="78" customHeight="1">
      <c r="A78" s="2" t="inlineStr">
        <is>
          <t>E077</t>
        </is>
      </c>
      <c r="B78" s="2" t="inlineStr">
        <is>
          <t>Execução e pós-compra</t>
        </is>
      </c>
      <c r="C78" s="2" t="inlineStr">
        <is>
          <t>Resolver faltas, avarias e devoluções</t>
        </is>
      </c>
      <c r="D78" s="2" t="inlineStr">
        <is>
          <t>Atendimento, Logística e UX</t>
        </is>
      </c>
      <c r="E78" s="2" t="inlineStr">
        <is>
          <t>E007, E029, E069, E075, E076</t>
        </is>
      </c>
      <c r="F78" s="2" t="inlineStr">
        <is>
          <t>Gestão de ocorrências com responsável e solução</t>
        </is>
      </c>
      <c r="G78" s="2" t="inlineStr">
        <is>
          <t>Comprador acompanha a resolução; ocorrência só encerra quando a solução acordada está registrada.</t>
        </is>
      </c>
      <c r="H78" s="2">
        <f>COUNTIFS(Subetapas!A$2:A$1001,A78,Subetapas!G$2:G$1001,1)</f>
        <v/>
      </c>
      <c r="I78" s="2">
        <f>IF(AND(N8="Concluída",N30="Concluída",N70="Concluída",N76="Concluída",N77="Concluída"),"Sim","Não")</f>
        <v/>
      </c>
      <c r="J78" s="4" t="inlineStr"/>
      <c r="K78" s="4" t="inlineStr"/>
      <c r="L78" s="4" t="inlineStr"/>
      <c r="M78" s="4" t="inlineStr">
        <is>
          <t>Não</t>
        </is>
      </c>
      <c r="N78" s="2">
        <f>IF(AND(H78=10,I78="Sim",LEN(TRIM(J78))&gt;0,LEN(TRIM(K78))&gt;0,LEN(TRIM(L78))&gt;0,M78="Sim"),"Concluída",IF(H78=10,"Revisão ou dependências pendentes",IF(H78&gt;0,"Em andamento","Pendente")))</f>
        <v/>
      </c>
    </row>
    <row r="79" ht="78" customHeight="1">
      <c r="A79" s="2" t="inlineStr">
        <is>
          <t>E078</t>
        </is>
      </c>
      <c r="B79" s="2" t="inlineStr">
        <is>
          <t>Execução e pós-compra</t>
        </is>
      </c>
      <c r="C79" s="2" t="inlineStr">
        <is>
          <t>Conciliar documentos financeiros e entrega</t>
        </is>
      </c>
      <c r="D79" s="2" t="inlineStr">
        <is>
          <t>Financeiro, Compras e Backend</t>
        </is>
      </c>
      <c r="E79" s="2" t="inlineStr">
        <is>
          <t>E017, E058, E068, E069, E076, E077</t>
        </is>
      </c>
      <c r="F79" s="2" t="inlineStr">
        <is>
          <t>Conciliação entre contratação, recebimento e cobrança</t>
        </is>
      </c>
      <c r="G79" s="2" t="inlineStr">
        <is>
          <t>Valores e documentos têm vínculo verificável; divergência impede encerramento financeiro indevido.</t>
        </is>
      </c>
      <c r="H79" s="2">
        <f>COUNTIFS(Subetapas!A$2:A$1001,A79,Subetapas!G$2:G$1001,1)</f>
        <v/>
      </c>
      <c r="I79" s="2">
        <f>IF(AND(N18="Concluída",N59="Concluída",N69="Concluída",N70="Concluída",N77="Concluída",N78="Concluída"),"Sim","Não")</f>
        <v/>
      </c>
      <c r="J79" s="4" t="inlineStr"/>
      <c r="K79" s="4" t="inlineStr"/>
      <c r="L79" s="4" t="inlineStr"/>
      <c r="M79" s="4" t="inlineStr">
        <is>
          <t>Não</t>
        </is>
      </c>
      <c r="N79" s="2">
        <f>IF(AND(H79=10,I79="Sim",LEN(TRIM(J79))&gt;0,LEN(TRIM(K79))&gt;0,LEN(TRIM(L79))&gt;0,M79="Sim"),"Concluída",IF(H79=10,"Revisão ou dependências pendentes",IF(H79&gt;0,"Em andamento","Pendente")))</f>
        <v/>
      </c>
    </row>
    <row r="80" ht="78" customHeight="1">
      <c r="A80" s="2" t="inlineStr">
        <is>
          <t>E079</t>
        </is>
      </c>
      <c r="B80" s="2" t="inlineStr">
        <is>
          <t>Execução e pós-compra</t>
        </is>
      </c>
      <c r="C80" s="2" t="inlineStr">
        <is>
          <t>Facilitar recompra com revalidação</t>
        </is>
      </c>
      <c r="D80" s="2" t="inlineStr">
        <is>
          <t>UX, Comercial e Frontend</t>
        </is>
      </c>
      <c r="E80" s="2" t="inlineStr">
        <is>
          <t>E003, E050, E059, E073, E076, E078</t>
        </is>
      </c>
      <c r="F80" s="2" t="inlineStr">
        <is>
          <t>Recompra que cria nova proposta</t>
        </is>
      </c>
      <c r="G80" s="2" t="inlineStr">
        <is>
          <t>Histórico acelera a seleção, mas preço, disponibilidade, arte e prazo são verificados novamente.</t>
        </is>
      </c>
      <c r="H80" s="2">
        <f>COUNTIFS(Subetapas!A$2:A$1001,A80,Subetapas!G$2:G$1001,1)</f>
        <v/>
      </c>
      <c r="I80" s="2">
        <f>IF(AND(N4="Concluída",N51="Concluída",N60="Concluída",N74="Concluída",N77="Concluída",N79="Concluída"),"Sim","Não")</f>
        <v/>
      </c>
      <c r="J80" s="4" t="inlineStr"/>
      <c r="K80" s="4" t="inlineStr"/>
      <c r="L80" s="4" t="inlineStr"/>
      <c r="M80" s="4" t="inlineStr">
        <is>
          <t>Não</t>
        </is>
      </c>
      <c r="N80" s="2">
        <f>IF(AND(H80=10,I80="Sim",LEN(TRIM(J80))&gt;0,LEN(TRIM(K80))&gt;0,LEN(TRIM(L80))&gt;0,M80="Sim"),"Concluída",IF(H80=10,"Revisão ou dependências pendentes",IF(H80&gt;0,"Em andamento","Pendente")))</f>
        <v/>
      </c>
    </row>
    <row r="81" ht="78" customHeight="1">
      <c r="A81" s="2" t="inlineStr">
        <is>
          <t>E080</t>
        </is>
      </c>
      <c r="B81" s="2" t="inlineStr">
        <is>
          <t>Execução e pós-compra</t>
        </is>
      </c>
      <c r="C81" s="2" t="inlineStr">
        <is>
          <t>Oferecer ajuda contextual e atendimento</t>
        </is>
      </c>
      <c r="D81" s="2" t="inlineStr">
        <is>
          <t>Conteúdo UX, Atendimento e Frontend</t>
        </is>
      </c>
      <c r="E81" s="2" t="inlineStr">
        <is>
          <t>E026, E028, E029, E061, E070, E077, E079</t>
        </is>
      </c>
      <c r="F81" s="2" t="inlineStr">
        <is>
          <t>Ajuda integrada à tarefa</t>
        </is>
      </c>
      <c r="G81" s="2" t="inlineStr">
        <is>
          <t>Usuário encontra orientação e atendimento no contexto correto, com retorno rastreável.</t>
        </is>
      </c>
      <c r="H81" s="2">
        <f>COUNTIFS(Subetapas!A$2:A$1001,A81,Subetapas!G$2:G$1001,1)</f>
        <v/>
      </c>
      <c r="I81" s="2">
        <f>IF(AND(N27="Concluída",N29="Concluída",N30="Concluída",N62="Concluída",N71="Concluída",N78="Concluída",N80="Concluída"),"Sim","Não")</f>
        <v/>
      </c>
      <c r="J81" s="4" t="inlineStr"/>
      <c r="K81" s="4" t="inlineStr"/>
      <c r="L81" s="4" t="inlineStr"/>
      <c r="M81" s="4" t="inlineStr">
        <is>
          <t>Não</t>
        </is>
      </c>
      <c r="N81" s="2">
        <f>IF(AND(H81=10,I81="Sim",LEN(TRIM(J81))&gt;0,LEN(TRIM(K81))&gt;0,LEN(TRIM(L81))&gt;0,M81="Sim"),"Concluída",IF(H81=10,"Revisão ou dependências pendentes",IF(H81&gt;0,"Em andamento","Pendente")))</f>
        <v/>
      </c>
    </row>
    <row r="82" ht="78" customHeight="1">
      <c r="A82" s="2" t="inlineStr">
        <is>
          <t>E081</t>
        </is>
      </c>
      <c r="B82" s="2" t="inlineStr">
        <is>
          <t>Qualidade e validação</t>
        </is>
      </c>
      <c r="C82" s="2" t="inlineStr">
        <is>
          <t>Auditar acessibilidade da jornada completa</t>
        </is>
      </c>
      <c r="D82" s="2" t="inlineStr">
        <is>
          <t>Especialista em acessibilidade e QA</t>
        </is>
      </c>
      <c r="E82" s="2" t="inlineStr">
        <is>
          <t>E040, E041, E046, E061, E064, E065, E076, E080</t>
        </is>
      </c>
      <c r="F82" s="2" t="inlineStr">
        <is>
          <t>Relatório WCAG com evidências e correções</t>
        </is>
      </c>
      <c r="G82" s="2" t="inlineStr">
        <is>
          <t>Critérios aplicáveis são verificados por automação e avaliação manual; falhas impeditivas estão resolvidas.</t>
        </is>
      </c>
      <c r="H82" s="2">
        <f>COUNTIFS(Subetapas!A$2:A$1001,A82,Subetapas!G$2:G$1001,1)</f>
        <v/>
      </c>
      <c r="I82" s="2">
        <f>IF(AND(N41="Concluída",N42="Concluída",N47="Concluída",N62="Concluída",N65="Concluída",N66="Concluída",N77="Concluída",N81="Concluída"),"Sim","Não")</f>
        <v/>
      </c>
      <c r="J82" s="4" t="inlineStr"/>
      <c r="K82" s="4" t="inlineStr"/>
      <c r="L82" s="4" t="inlineStr"/>
      <c r="M82" s="4" t="inlineStr">
        <is>
          <t>Não</t>
        </is>
      </c>
      <c r="N82" s="2">
        <f>IF(AND(H82=10,I82="Sim",LEN(TRIM(J82))&gt;0,LEN(TRIM(K82))&gt;0,LEN(TRIM(L82))&gt;0,M82="Sim"),"Concluída",IF(H82=10,"Revisão ou dependências pendentes",IF(H82&gt;0,"Em andamento","Pendente")))</f>
        <v/>
      </c>
    </row>
    <row r="83" ht="78" customHeight="1">
      <c r="A83" s="2" t="inlineStr">
        <is>
          <t>E082</t>
        </is>
      </c>
      <c r="B83" s="2" t="inlineStr">
        <is>
          <t>Qualidade e validação</t>
        </is>
      </c>
      <c r="C83" s="2" t="inlineStr">
        <is>
          <t>Validar uso móvel em situações reais</t>
        </is>
      </c>
      <c r="D83" s="2" t="inlineStr">
        <is>
          <t>Pesquisa UX, Frontend e QA</t>
        </is>
      </c>
      <c r="E83" s="2" t="inlineStr">
        <is>
          <t>E041, E045, E046, E061, E063, E065, E075, E076, E081</t>
        </is>
      </c>
      <c r="F83" s="2" t="inlineStr">
        <is>
          <t>Jornadas móveis verificadas</t>
        </is>
      </c>
      <c r="G83" s="2" t="inlineStr">
        <is>
          <t>Solicitar, aprovar e receber são possíveis sem gestos exclusivos ou conteúdo essencial oculto.</t>
        </is>
      </c>
      <c r="H83" s="2">
        <f>COUNTIFS(Subetapas!A$2:A$1001,A83,Subetapas!G$2:G$1001,1)</f>
        <v/>
      </c>
      <c r="I83" s="2">
        <f>IF(AND(N42="Concluída",N46="Concluída",N47="Concluída",N62="Concluída",N64="Concluída",N66="Concluída",N76="Concluída",N77="Concluída",N82="Concluída"),"Sim","Não")</f>
        <v/>
      </c>
      <c r="J83" s="4" t="inlineStr"/>
      <c r="K83" s="4" t="inlineStr"/>
      <c r="L83" s="4" t="inlineStr"/>
      <c r="M83" s="4" t="inlineStr">
        <is>
          <t>Não</t>
        </is>
      </c>
      <c r="N83" s="2">
        <f>IF(AND(H83=10,I83="Sim",LEN(TRIM(J83))&gt;0,LEN(TRIM(K83))&gt;0,LEN(TRIM(L83))&gt;0,M83="Sim"),"Concluída",IF(H83=10,"Revisão ou dependências pendentes",IF(H83&gt;0,"Em andamento","Pendente")))</f>
        <v/>
      </c>
    </row>
    <row r="84" ht="78" customHeight="1">
      <c r="A84" s="2" t="inlineStr">
        <is>
          <t>E083</t>
        </is>
      </c>
      <c r="B84" s="2" t="inlineStr">
        <is>
          <t>Qualidade e validação</t>
        </is>
      </c>
      <c r="C84" s="2" t="inlineStr">
        <is>
          <t>Testar responsividade e conteúdo extremo</t>
        </is>
      </c>
      <c r="D84" s="2" t="inlineStr">
        <is>
          <t>Design, Frontend e QA</t>
        </is>
      </c>
      <c r="E84" s="2" t="inlineStr">
        <is>
          <t>E032, E033, E038, E081, E082</t>
        </is>
      </c>
      <c r="F84" s="2" t="inlineStr">
        <is>
          <t>Matriz visual com dados extremos</t>
        </is>
      </c>
      <c r="G84" s="2" t="inlineStr">
        <is>
          <t>Conteúdo continua compreensível sem cortes indevidos, sobreposição ou perda de ações importantes.</t>
        </is>
      </c>
      <c r="H84" s="2">
        <f>COUNTIFS(Subetapas!A$2:A$1001,A84,Subetapas!G$2:G$1001,1)</f>
        <v/>
      </c>
      <c r="I84" s="2">
        <f>IF(AND(N33="Concluída",N34="Concluída",N39="Concluída",N82="Concluída",N83="Concluída"),"Sim","Não")</f>
        <v/>
      </c>
      <c r="J84" s="4" t="inlineStr"/>
      <c r="K84" s="4" t="inlineStr"/>
      <c r="L84" s="4" t="inlineStr"/>
      <c r="M84" s="4" t="inlineStr">
        <is>
          <t>Não</t>
        </is>
      </c>
      <c r="N84" s="2">
        <f>IF(AND(H84=10,I84="Sim",LEN(TRIM(J84))&gt;0,LEN(TRIM(K84))&gt;0,LEN(TRIM(L84))&gt;0,M84="Sim"),"Concluída",IF(H84=10,"Revisão ou dependências pendentes",IF(H84&gt;0,"Em andamento","Pendente")))</f>
        <v/>
      </c>
    </row>
    <row r="85" ht="78" customHeight="1">
      <c r="A85" s="2" t="inlineStr">
        <is>
          <t>E084</t>
        </is>
      </c>
      <c r="B85" s="2" t="inlineStr">
        <is>
          <t>Qualidade e validação</t>
        </is>
      </c>
      <c r="C85" s="2" t="inlineStr">
        <is>
          <t>Otimizar desempenho percebido e carregamento</t>
        </is>
      </c>
      <c r="D85" s="2" t="inlineStr">
        <is>
          <t>Frontend, Infraestrutura e UX</t>
        </is>
      </c>
      <c r="E85" s="2" t="inlineStr">
        <is>
          <t>E019, E020, E039, E043, E046, E061, E083</t>
        </is>
      </c>
      <c r="F85" s="2" t="inlineStr">
        <is>
          <t>Orçamento de desempenho e medições reproduzíveis</t>
        </is>
      </c>
      <c r="G85" s="2" t="inlineStr">
        <is>
          <t>Jornadas atendem o orçamento definido em homologação; métricas de campo permanecem separadas das medições de laboratório.</t>
        </is>
      </c>
      <c r="H85" s="2">
        <f>COUNTIFS(Subetapas!A$2:A$1001,A85,Subetapas!G$2:G$1001,1)</f>
        <v/>
      </c>
      <c r="I85" s="2">
        <f>IF(AND(N20="Concluída",N21="Concluída",N40="Concluída",N44="Concluída",N47="Concluída",N62="Concluída",N84="Concluída"),"Sim","Não")</f>
        <v/>
      </c>
      <c r="J85" s="4" t="inlineStr"/>
      <c r="K85" s="4" t="inlineStr"/>
      <c r="L85" s="4" t="inlineStr"/>
      <c r="M85" s="4" t="inlineStr">
        <is>
          <t>Não</t>
        </is>
      </c>
      <c r="N85" s="2">
        <f>IF(AND(H85=10,I85="Sim",LEN(TRIM(J85))&gt;0,LEN(TRIM(K85))&gt;0,LEN(TRIM(L85))&gt;0,M85="Sim"),"Concluída",IF(H85=10,"Revisão ou dependências pendentes",IF(H85&gt;0,"Em andamento","Pendente")))</f>
        <v/>
      </c>
    </row>
    <row r="86" ht="78" customHeight="1">
      <c r="A86" s="2" t="inlineStr">
        <is>
          <t>E085</t>
        </is>
      </c>
      <c r="B86" s="2" t="inlineStr">
        <is>
          <t>Qualidade e validação</t>
        </is>
      </c>
      <c r="C86" s="2" t="inlineStr">
        <is>
          <t>Validar resiliência e preservação do trabalho</t>
        </is>
      </c>
      <c r="D86" s="2" t="inlineStr">
        <is>
          <t>Backend, Frontend e QA</t>
        </is>
      </c>
      <c r="E86" s="2" t="inlineStr">
        <is>
          <t>E020, E028, E057, E061, E064, E070, E084</t>
        </is>
      </c>
      <c r="F86" s="2" t="inlineStr">
        <is>
          <t>Fluxos recuperáveis sob falha</t>
        </is>
      </c>
      <c r="G86" s="2" t="inlineStr">
        <is>
          <t>Indisponibilidade e reenvio não perdem rascunhos nem duplicam compromissos de compra.</t>
        </is>
      </c>
      <c r="H86" s="2">
        <f>COUNTIFS(Subetapas!A$2:A$1001,A86,Subetapas!G$2:G$1001,1)</f>
        <v/>
      </c>
      <c r="I86" s="2">
        <f>IF(AND(N21="Concluída",N29="Concluída",N58="Concluída",N62="Concluída",N65="Concluída",N71="Concluída",N85="Concluída"),"Sim","Não")</f>
        <v/>
      </c>
      <c r="J86" s="4" t="inlineStr"/>
      <c r="K86" s="4" t="inlineStr"/>
      <c r="L86" s="4" t="inlineStr"/>
      <c r="M86" s="4" t="inlineStr">
        <is>
          <t>Não</t>
        </is>
      </c>
      <c r="N86" s="2">
        <f>IF(AND(H86=10,I86="Sim",LEN(TRIM(J86))&gt;0,LEN(TRIM(K86))&gt;0,LEN(TRIM(L86))&gt;0,M86="Sim"),"Concluída",IF(H86=10,"Revisão ou dependências pendentes",IF(H86&gt;0,"Em andamento","Pendente")))</f>
        <v/>
      </c>
    </row>
    <row r="87" ht="78" customHeight="1">
      <c r="A87" s="2" t="inlineStr">
        <is>
          <t>E086</t>
        </is>
      </c>
      <c r="B87" s="2" t="inlineStr">
        <is>
          <t>Qualidade e validação</t>
        </is>
      </c>
      <c r="C87" s="2" t="inlineStr">
        <is>
          <t>Verificar segurança das jornadas integradas</t>
        </is>
      </c>
      <c r="D87" s="2" t="inlineStr">
        <is>
          <t>Segurança, Backend e QA</t>
        </is>
      </c>
      <c r="E87" s="2" t="inlineStr">
        <is>
          <t>E013, E018, E053, E064, E065, E067, E068, E085</t>
        </is>
      </c>
      <c r="F87" s="2" t="inlineStr">
        <is>
          <t>Validação de autorização ponta a ponta</t>
        </is>
      </c>
      <c r="G87" s="2" t="inlineStr">
        <is>
          <t>Tentativas de acesso cruzado, alteração de ator ou manipulação de versão são negadas no servidor.</t>
        </is>
      </c>
      <c r="H87" s="2">
        <f>COUNTIFS(Subetapas!A$2:A$1001,A87,Subetapas!G$2:G$1001,1)</f>
        <v/>
      </c>
      <c r="I87" s="2">
        <f>IF(AND(N14="Concluída",N19="Concluída",N54="Concluída",N65="Concluída",N66="Concluída",N68="Concluída",N69="Concluída",N86="Concluída"),"Sim","Não")</f>
        <v/>
      </c>
      <c r="J87" s="4" t="inlineStr"/>
      <c r="K87" s="4" t="inlineStr"/>
      <c r="L87" s="4" t="inlineStr"/>
      <c r="M87" s="4" t="inlineStr">
        <is>
          <t>Não</t>
        </is>
      </c>
      <c r="N87" s="2">
        <f>IF(AND(H87=10,I87="Sim",LEN(TRIM(J87))&gt;0,LEN(TRIM(K87))&gt;0,LEN(TRIM(L87))&gt;0,M87="Sim"),"Concluída",IF(H87=10,"Revisão ou dependências pendentes",IF(H87&gt;0,"Em andamento","Pendente")))</f>
        <v/>
      </c>
    </row>
    <row r="88" ht="78" customHeight="1">
      <c r="A88" s="2" t="inlineStr">
        <is>
          <t>E087</t>
        </is>
      </c>
      <c r="B88" s="2" t="inlineStr">
        <is>
          <t>Qualidade e validação</t>
        </is>
      </c>
      <c r="C88" s="2" t="inlineStr">
        <is>
          <t>Validar privacidade e ciclo de vida dos dados</t>
        </is>
      </c>
      <c r="D88" s="2" t="inlineStr">
        <is>
          <t>Responsável por privacidade, Produto e Segurança</t>
        </is>
      </c>
      <c r="E88" s="2" t="inlineStr">
        <is>
          <t>E008, E011, E020, E053, E068, E078, E080, E086</t>
        </is>
      </c>
      <c r="F88" s="2" t="inlineStr">
        <is>
          <t>Mapa de dados e práticas aprovadas</t>
        </is>
      </c>
      <c r="G88" s="2" t="inlineStr">
        <is>
          <t>Coleta, acesso, retenção e atendimento de solicitações possuem finalidade e responsabilidade definidas.</t>
        </is>
      </c>
      <c r="H88" s="2">
        <f>COUNTIFS(Subetapas!A$2:A$1001,A88,Subetapas!G$2:G$1001,1)</f>
        <v/>
      </c>
      <c r="I88" s="2">
        <f>IF(AND(N9="Concluída",N12="Concluída",N21="Concluída",N54="Concluída",N69="Concluída",N79="Concluída",N81="Concluída",N87="Concluída"),"Sim","Não")</f>
        <v/>
      </c>
      <c r="J88" s="4" t="inlineStr"/>
      <c r="K88" s="4" t="inlineStr"/>
      <c r="L88" s="4" t="inlineStr"/>
      <c r="M88" s="4" t="inlineStr">
        <is>
          <t>Não</t>
        </is>
      </c>
      <c r="N88" s="2">
        <f>IF(AND(H88=10,I88="Sim",LEN(TRIM(J88))&gt;0,LEN(TRIM(K88))&gt;0,LEN(TRIM(L88))&gt;0,M88="Sim"),"Concluída",IF(H88=10,"Revisão ou dependências pendentes",IF(H88&gt;0,"Em andamento","Pendente")))</f>
        <v/>
      </c>
    </row>
    <row r="89" ht="78" customHeight="1">
      <c r="A89" s="2" t="inlineStr">
        <is>
          <t>E088</t>
        </is>
      </c>
      <c r="B89" s="2" t="inlineStr">
        <is>
          <t>Qualidade e validação</t>
        </is>
      </c>
      <c r="C89" s="2" t="inlineStr">
        <is>
          <t>Conduzir testes de usabilidade com tarefas completas</t>
        </is>
      </c>
      <c r="D89" s="2" t="inlineStr">
        <is>
          <t>Pesquisa UX, Compras e Marketing</t>
        </is>
      </c>
      <c r="E89" s="2" t="inlineStr">
        <is>
          <t>E005, E030, E061, E064, E065, E076, E079, E081, E082, E085</t>
        </is>
      </c>
      <c r="F89" s="2" t="inlineStr">
        <is>
          <t>Resultados observados e correções priorizadas</t>
        </is>
      </c>
      <c r="G89" s="2" t="inlineStr">
        <is>
          <t>Problemas que impedem concluir tarefas críticas estão resolvidos e reavaliados com participantes adequados.</t>
        </is>
      </c>
      <c r="H89" s="2">
        <f>COUNTIFS(Subetapas!A$2:A$1001,A89,Subetapas!G$2:G$1001,1)</f>
        <v/>
      </c>
      <c r="I89" s="2">
        <f>IF(AND(N6="Concluída",N31="Concluída",N62="Concluída",N65="Concluída",N66="Concluída",N77="Concluída",N80="Concluída",N82="Concluída",N83="Concluída",N86="Concluída"),"Sim","Não")</f>
        <v/>
      </c>
      <c r="J89" s="4" t="inlineStr"/>
      <c r="K89" s="4" t="inlineStr"/>
      <c r="L89" s="4" t="inlineStr"/>
      <c r="M89" s="4" t="inlineStr">
        <is>
          <t>Não</t>
        </is>
      </c>
      <c r="N89" s="2">
        <f>IF(AND(H89=10,I89="Sim",LEN(TRIM(J89))&gt;0,LEN(TRIM(K89))&gt;0,LEN(TRIM(L89))&gt;0,M89="Sim"),"Concluída",IF(H89=10,"Revisão ou dependências pendentes",IF(H89&gt;0,"Em andamento","Pendente")))</f>
        <v/>
      </c>
    </row>
    <row r="90" ht="78" customHeight="1">
      <c r="A90" s="2" t="inlineStr">
        <is>
          <t>E089</t>
        </is>
      </c>
      <c r="B90" s="2" t="inlineStr">
        <is>
          <t>Qualidade e validação</t>
        </is>
      </c>
      <c r="C90" s="2" t="inlineStr">
        <is>
          <t>Construir indicadores operacionais verdadeiros</t>
        </is>
      </c>
      <c r="D90" s="2" t="inlineStr">
        <is>
          <t>Dados, Produto e UX</t>
        </is>
      </c>
      <c r="E90" s="2" t="inlineStr">
        <is>
          <t>E009, E020, E062, E068, E076, E077, E078, E088</t>
        </is>
      </c>
      <c r="F90" s="2" t="inlineStr">
        <is>
          <t>Painel de operação com origem demonstrável</t>
        </is>
      </c>
      <c r="G90" s="2" t="inlineStr">
        <is>
          <t>Indicadores reconciliam com eventos e amostra de pedidos; dados insuficientes aparecem como não medidos.</t>
        </is>
      </c>
      <c r="H90" s="2">
        <f>COUNTIFS(Subetapas!A$2:A$1001,A90,Subetapas!G$2:G$1001,1)</f>
        <v/>
      </c>
      <c r="I90" s="2">
        <f>IF(AND(N10="Concluída",N21="Concluída",N63="Concluída",N69="Concluída",N77="Concluída",N78="Concluída",N79="Concluída",N89="Concluída"),"Sim","Não")</f>
        <v/>
      </c>
      <c r="J90" s="4" t="inlineStr"/>
      <c r="K90" s="4" t="inlineStr"/>
      <c r="L90" s="4" t="inlineStr"/>
      <c r="M90" s="4" t="inlineStr">
        <is>
          <t>Não</t>
        </is>
      </c>
      <c r="N90" s="2">
        <f>IF(AND(H90=10,I90="Sim",LEN(TRIM(J90))&gt;0,LEN(TRIM(K90))&gt;0,LEN(TRIM(L90))&gt;0,M90="Sim"),"Concluída",IF(H90=10,"Revisão ou dependências pendentes",IF(H90&gt;0,"Em andamento","Pendente")))</f>
        <v/>
      </c>
    </row>
    <row r="91" ht="78" customHeight="1">
      <c r="A91" s="2" t="inlineStr">
        <is>
          <t>E090</t>
        </is>
      </c>
      <c r="B91" s="2" t="inlineStr">
        <is>
          <t>Qualidade e validação</t>
        </is>
      </c>
      <c r="C91" s="2" t="inlineStr">
        <is>
          <t>Concluir homologação funcional e de conteúdo</t>
        </is>
      </c>
      <c r="D91" s="2" t="inlineStr">
        <is>
          <t>QA, Conteúdo, UX e Engenharia</t>
        </is>
      </c>
      <c r="E91" s="2" t="inlineStr">
        <is>
          <t>E019, E041, E060, E070, E078, E081, E083, E084, E085, E086, E087, E088, E089</t>
        </is>
      </c>
      <c r="F91" s="2" t="inlineStr">
        <is>
          <t>Relatório integrado de homologação</t>
        </is>
      </c>
      <c r="G91" s="2" t="inlineStr">
        <is>
          <t>Cenários críticos passam; conteúdo, formatos e estados refletem regras e dados do ambiente testado.</t>
        </is>
      </c>
      <c r="H91" s="2">
        <f>COUNTIFS(Subetapas!A$2:A$1001,A91,Subetapas!G$2:G$1001,1)</f>
        <v/>
      </c>
      <c r="I91" s="2">
        <f>IF(AND(N20="Concluída",N42="Concluída",N61="Concluída",N71="Concluída",N79="Concluída",N82="Concluída",N84="Concluída",N85="Concluída",N86="Concluída",N87="Concluída",N88="Concluída",N89="Concluída",N90="Concluída"),"Sim","Não")</f>
        <v/>
      </c>
      <c r="J91" s="4" t="inlineStr"/>
      <c r="K91" s="4" t="inlineStr"/>
      <c r="L91" s="4" t="inlineStr"/>
      <c r="M91" s="4" t="inlineStr">
        <is>
          <t>Não</t>
        </is>
      </c>
      <c r="N91" s="2">
        <f>IF(AND(H91=10,I91="Sim",LEN(TRIM(J91))&gt;0,LEN(TRIM(K91))&gt;0,LEN(TRIM(L91))&gt;0,M91="Sim"),"Concluída",IF(H91=10,"Revisão ou dependências pendentes",IF(H91&gt;0,"Em andamento","Pendente")))</f>
        <v/>
      </c>
    </row>
    <row r="92" ht="78" customHeight="1">
      <c r="A92" s="2" t="inlineStr">
        <is>
          <t>E091</t>
        </is>
      </c>
      <c r="B92" s="2" t="inlineStr">
        <is>
          <t>Produção e expansão</t>
        </is>
      </c>
      <c r="C92" s="2" t="inlineStr">
        <is>
          <t>Ensaiar a compra integral antes do piloto</t>
        </is>
      </c>
      <c r="D92" s="2" t="inlineStr">
        <is>
          <t>Produto, Compras, Marketing e Operação</t>
        </is>
      </c>
      <c r="E92" s="2" t="inlineStr">
        <is>
          <t>E007, E017, E018, E056, E060, E064, E065, E071, E073, E076, E078, E090</t>
        </is>
      </c>
      <c r="F92" s="2" t="inlineStr">
        <is>
          <t>Ensaio completo com exceções</t>
        </is>
      </c>
      <c r="G92" s="2" t="inlineStr">
        <is>
          <t>Uma compra atravessa todas as áreas e concilia valores e quantidades, sem intervenção técnica oculta.</t>
        </is>
      </c>
      <c r="H92" s="2">
        <f>COUNTIFS(Subetapas!A$2:A$1001,A92,Subetapas!G$2:G$1001,1)</f>
        <v/>
      </c>
      <c r="I92" s="2">
        <f>IF(AND(N8="Concluída",N18="Concluída",N19="Concluída",N57="Concluída",N61="Concluída",N65="Concluída",N66="Concluída",N72="Concluída",N74="Concluída",N77="Concluída",N79="Concluída",N91="Concluída"),"Sim","Não")</f>
        <v/>
      </c>
      <c r="J92" s="4" t="inlineStr"/>
      <c r="K92" s="4" t="inlineStr"/>
      <c r="L92" s="4" t="inlineStr"/>
      <c r="M92" s="4" t="inlineStr">
        <is>
          <t>Não</t>
        </is>
      </c>
      <c r="N92" s="2">
        <f>IF(AND(H92=10,I92="Sim",LEN(TRIM(J92))&gt;0,LEN(TRIM(K92))&gt;0,LEN(TRIM(L92))&gt;0,M92="Sim"),"Concluída",IF(H92=10,"Revisão ou dependências pendentes",IF(H92&gt;0,"Em andamento","Pendente")))</f>
        <v/>
      </c>
    </row>
    <row r="93" ht="78" customHeight="1">
      <c r="A93" s="2" t="inlineStr">
        <is>
          <t>E092</t>
        </is>
      </c>
      <c r="B93" s="2" t="inlineStr">
        <is>
          <t>Produção e expansão</t>
        </is>
      </c>
      <c r="C93" s="2" t="inlineStr">
        <is>
          <t>Revisar a experiência final e a aplicação da marca</t>
        </is>
      </c>
      <c r="D93" s="2" t="inlineStr">
        <is>
          <t>Direção de design, Marca e Produto</t>
        </is>
      </c>
      <c r="E93" s="2" t="inlineStr">
        <is>
          <t>E031, E040, E081, E082, E083, E088, E090, E091</t>
        </is>
      </c>
      <c r="F93" s="2" t="inlineStr">
        <is>
          <t>Aceite de experiência e identidade da release</t>
        </is>
      </c>
      <c r="G93" s="2" t="inlineStr">
        <is>
          <t>Telas, documentos e comunicações seguem a direção aprovada e suportam as tarefas prioritárias.</t>
        </is>
      </c>
      <c r="H93" s="2">
        <f>COUNTIFS(Subetapas!A$2:A$1001,A93,Subetapas!G$2:G$1001,1)</f>
        <v/>
      </c>
      <c r="I93" s="2">
        <f>IF(AND(N32="Concluída",N41="Concluída",N82="Concluída",N83="Concluída",N84="Concluída",N89="Concluída",N91="Concluída",N92="Concluída"),"Sim","Não")</f>
        <v/>
      </c>
      <c r="J93" s="4" t="inlineStr"/>
      <c r="K93" s="4" t="inlineStr"/>
      <c r="L93" s="4" t="inlineStr"/>
      <c r="M93" s="4" t="inlineStr">
        <is>
          <t>Não</t>
        </is>
      </c>
      <c r="N93" s="2">
        <f>IF(AND(H93=10,I93="Sim",LEN(TRIM(J93))&gt;0,LEN(TRIM(K93))&gt;0,LEN(TRIM(L93))&gt;0,M93="Sim"),"Concluída",IF(H93=10,"Revisão ou dependências pendentes",IF(H93&gt;0,"Em andamento","Pendente")))</f>
        <v/>
      </c>
    </row>
    <row r="94" ht="78" customHeight="1">
      <c r="A94" s="2" t="inlineStr">
        <is>
          <t>E093</t>
        </is>
      </c>
      <c r="B94" s="2" t="inlineStr">
        <is>
          <t>Produção e expansão</t>
        </is>
      </c>
      <c r="C94" s="2" t="inlineStr">
        <is>
          <t>Preparar a cooperativa piloto e seus dados</t>
        </is>
      </c>
      <c r="D94" s="2" t="inlineStr">
        <is>
          <t>Produto, Administração e Dados</t>
        </is>
      </c>
      <c r="E94" s="2" t="inlineStr">
        <is>
          <t>E008, E011, E012, E016, E017, E087, E091, E092</t>
        </is>
      </c>
      <c r="F94" s="2" t="inlineStr">
        <is>
          <t>Cadastro reconciliado da cooperativa piloto</t>
        </is>
      </c>
      <c r="G94" s="2" t="inlineStr">
        <is>
          <t>Unidades, papéis, políticas, endereços e verbas estão conferidos antes de receber compras reais.</t>
        </is>
      </c>
      <c r="H94" s="2">
        <f>COUNTIFS(Subetapas!A$2:A$1001,A94,Subetapas!G$2:G$1001,1)</f>
        <v/>
      </c>
      <c r="I94" s="2">
        <f>IF(AND(N9="Concluída",N12="Concluída",N13="Concluída",N17="Concluída",N18="Concluída",N88="Concluída",N92="Concluída",N93="Concluída"),"Sim","Não")</f>
        <v/>
      </c>
      <c r="J94" s="4" t="inlineStr"/>
      <c r="K94" s="4" t="inlineStr"/>
      <c r="L94" s="4" t="inlineStr"/>
      <c r="M94" s="4" t="inlineStr">
        <is>
          <t>Não</t>
        </is>
      </c>
      <c r="N94" s="2">
        <f>IF(AND(H94=10,I94="Sim",LEN(TRIM(J94))&gt;0,LEN(TRIM(K94))&gt;0,LEN(TRIM(L94))&gt;0,M94="Sim"),"Concluída",IF(H94=10,"Revisão ou dependências pendentes",IF(H94&gt;0,"Em andamento","Pendente")))</f>
        <v/>
      </c>
    </row>
    <row r="95" ht="78" customHeight="1">
      <c r="A95" s="2" t="inlineStr">
        <is>
          <t>E094</t>
        </is>
      </c>
      <c r="B95" s="2" t="inlineStr">
        <is>
          <t>Produção e expansão</t>
        </is>
      </c>
      <c r="C95" s="2" t="inlineStr">
        <is>
          <t>Preparar operação, suporte e treinamento</t>
        </is>
      </c>
      <c r="D95" s="2" t="inlineStr">
        <is>
          <t>Operação, Atendimento e UX</t>
        </is>
      </c>
      <c r="E95" s="2" t="inlineStr">
        <is>
          <t>E007, E029, E070, E077, E078, E080, E091, E093</t>
        </is>
      </c>
      <c r="F95" s="2" t="inlineStr">
        <is>
          <t>Equipe preparada para executar e apoiar o piloto</t>
        </is>
      </c>
      <c r="G95" s="2" t="inlineStr">
        <is>
          <t>Responsáveis conseguem concluir suas tarefas e encaminhar falhas pelos procedimentos documentados.</t>
        </is>
      </c>
      <c r="H95" s="2">
        <f>COUNTIFS(Subetapas!A$2:A$1001,A95,Subetapas!G$2:G$1001,1)</f>
        <v/>
      </c>
      <c r="I95" s="2">
        <f>IF(AND(N8="Concluída",N30="Concluída",N71="Concluída",N78="Concluída",N79="Concluída",N81="Concluída",N92="Concluída",N94="Concluída"),"Sim","Não")</f>
        <v/>
      </c>
      <c r="J95" s="4" t="inlineStr"/>
      <c r="K95" s="4" t="inlineStr"/>
      <c r="L95" s="4" t="inlineStr"/>
      <c r="M95" s="4" t="inlineStr">
        <is>
          <t>Não</t>
        </is>
      </c>
      <c r="N95" s="2">
        <f>IF(AND(H95=10,I95="Sim",LEN(TRIM(J95))&gt;0,LEN(TRIM(K95))&gt;0,LEN(TRIM(L95))&gt;0,M95="Sim"),"Concluída",IF(H95=10,"Revisão ou dependências pendentes",IF(H95&gt;0,"Em andamento","Pendente")))</f>
        <v/>
      </c>
    </row>
    <row r="96" ht="78" customHeight="1">
      <c r="A96" s="2" t="inlineStr">
        <is>
          <t>E095</t>
        </is>
      </c>
      <c r="B96" s="2" t="inlineStr">
        <is>
          <t>Produção e expansão</t>
        </is>
      </c>
      <c r="C96" s="2" t="inlineStr">
        <is>
          <t>Preparar release e decisão de lançamento</t>
        </is>
      </c>
      <c r="D96" s="2" t="inlineStr">
        <is>
          <t>Liderança técnica, Produto e Operação</t>
        </is>
      </c>
      <c r="E96" s="2" t="inlineStr">
        <is>
          <t>E019, E020, E086, E087, E090, E091, E092, E093, E094</t>
        </is>
      </c>
      <c r="F96" s="2" t="inlineStr">
        <is>
          <t>Release candidata e decisão registrada</t>
        </is>
      </c>
      <c r="G96" s="2" t="inlineStr">
        <is>
          <t>Não existem bloqueadores críticos pendentes; deploy, rollback, suporte e autorização operacional estão preparados.</t>
        </is>
      </c>
      <c r="H96" s="2">
        <f>COUNTIFS(Subetapas!A$2:A$1001,A96,Subetapas!G$2:G$1001,1)</f>
        <v/>
      </c>
      <c r="I96" s="2">
        <f>IF(AND(N20="Concluída",N21="Concluída",N87="Concluída",N88="Concluída",N91="Concluída",N92="Concluída",N93="Concluída",N94="Concluída",N95="Concluída"),"Sim","Não")</f>
        <v/>
      </c>
      <c r="J96" s="4" t="inlineStr"/>
      <c r="K96" s="4" t="inlineStr"/>
      <c r="L96" s="4" t="inlineStr"/>
      <c r="M96" s="4" t="inlineStr">
        <is>
          <t>Não</t>
        </is>
      </c>
      <c r="N96" s="2">
        <f>IF(AND(H96=10,I96="Sim",LEN(TRIM(J96))&gt;0,LEN(TRIM(K96))&gt;0,LEN(TRIM(L96))&gt;0,M96="Sim"),"Concluída",IF(H96=10,"Revisão ou dependências pendentes",IF(H96&gt;0,"Em andamento","Pendente")))</f>
        <v/>
      </c>
    </row>
    <row r="97" ht="78" customHeight="1">
      <c r="A97" s="2" t="inlineStr">
        <is>
          <t>E096</t>
        </is>
      </c>
      <c r="B97" s="2" t="inlineStr">
        <is>
          <t>Produção e expansão</t>
        </is>
      </c>
      <c r="C97" s="2" t="inlineStr">
        <is>
          <t>Publicar o piloto e verificar produção</t>
        </is>
      </c>
      <c r="D97" s="2" t="inlineStr">
        <is>
          <t>Infraestrutura, Produto e Operação</t>
        </is>
      </c>
      <c r="E97" s="2" t="inlineStr">
        <is>
          <t>E095</t>
        </is>
      </c>
      <c r="F97" s="2" t="inlineStr">
        <is>
          <t>Portal piloto publicado e verificável</t>
        </is>
      </c>
      <c r="G97" s="2" t="inlineStr">
        <is>
          <t>Domínio e commit produtivos estão confirmados; fluxos essenciais funcionam com responsáveis reais e monitoramento ativo.</t>
        </is>
      </c>
      <c r="H97" s="2">
        <f>COUNTIFS(Subetapas!A$2:A$1001,A97,Subetapas!G$2:G$1001,1)</f>
        <v/>
      </c>
      <c r="I97" s="2">
        <f>IF(AND(N96="Concluída"),"Sim","Não")</f>
        <v/>
      </c>
      <c r="J97" s="4" t="inlineStr"/>
      <c r="K97" s="4" t="inlineStr"/>
      <c r="L97" s="4" t="inlineStr"/>
      <c r="M97" s="4" t="inlineStr">
        <is>
          <t>Não</t>
        </is>
      </c>
      <c r="N97" s="2">
        <f>IF(AND(H97=10,I97="Sim",LEN(TRIM(J97))&gt;0,LEN(TRIM(K97))&gt;0,LEN(TRIM(L97))&gt;0,M97="Sim"),"Concluída",IF(H97=10,"Revisão ou dependências pendentes",IF(H97&gt;0,"Em andamento","Pendente")))</f>
        <v/>
      </c>
    </row>
    <row r="98" ht="78" customHeight="1">
      <c r="A98" s="2" t="inlineStr">
        <is>
          <t>E097</t>
        </is>
      </c>
      <c r="B98" s="2" t="inlineStr">
        <is>
          <t>Produção e expansão</t>
        </is>
      </c>
      <c r="C98" s="2" t="inlineStr">
        <is>
          <t>Acompanhar a primeira compra real até o recebimento</t>
        </is>
      </c>
      <c r="D98" s="2" t="inlineStr">
        <is>
          <t>Produto, Cooperativa piloto e Operação</t>
        </is>
      </c>
      <c r="E98" s="2" t="inlineStr">
        <is>
          <t>E064, E065, E073, E076, E078, E094, E096</t>
        </is>
      </c>
      <c r="F98" s="2" t="inlineStr">
        <is>
          <t>Primeira compra real conciliada</t>
        </is>
      </c>
      <c r="G98" s="2" t="inlineStr">
        <is>
          <t>Pedido real autorizado é produzido, entregue e conciliado, com histórico e saldo verificáveis.</t>
        </is>
      </c>
      <c r="H98" s="2">
        <f>COUNTIFS(Subetapas!A$2:A$1001,A98,Subetapas!G$2:G$1001,1)</f>
        <v/>
      </c>
      <c r="I98" s="2">
        <f>IF(AND(N65="Concluída",N66="Concluída",N74="Concluída",N77="Concluída",N79="Concluída",N95="Concluída",N97="Concluída"),"Sim","Não")</f>
        <v/>
      </c>
      <c r="J98" s="4" t="inlineStr"/>
      <c r="K98" s="4" t="inlineStr"/>
      <c r="L98" s="4" t="inlineStr"/>
      <c r="M98" s="4" t="inlineStr">
        <is>
          <t>Não</t>
        </is>
      </c>
      <c r="N98" s="2">
        <f>IF(AND(H98=10,I98="Sim",LEN(TRIM(J98))&gt;0,LEN(TRIM(K98))&gt;0,LEN(TRIM(L98))&gt;0,M98="Sim"),"Concluída",IF(H98=10,"Revisão ou dependências pendentes",IF(H98&gt;0,"Em andamento","Pendente")))</f>
        <v/>
      </c>
    </row>
    <row r="99" ht="78" customHeight="1">
      <c r="A99" s="2" t="inlineStr">
        <is>
          <t>E098</t>
        </is>
      </c>
      <c r="B99" s="2" t="inlineStr">
        <is>
          <t>Produção e expansão</t>
        </is>
      </c>
      <c r="C99" s="2" t="inlineStr">
        <is>
          <t>Medir o piloto e corrigir fricções comprovadas</t>
        </is>
      </c>
      <c r="D99" s="2" t="inlineStr">
        <is>
          <t>Produto, Dados, UX e Operação</t>
        </is>
      </c>
      <c r="E99" s="2" t="inlineStr">
        <is>
          <t>E009, E084, E088, E089, E097</t>
        </is>
      </c>
      <c r="F99" s="2" t="inlineStr">
        <is>
          <t>Avaliação do piloto com correções verificadas</t>
        </is>
      </c>
      <c r="G99" s="2" t="inlineStr">
        <is>
          <t>Resultados têm amostra e período definidos; ajustes prioritários demonstram melhoria ou limitação explicitamente registrada.</t>
        </is>
      </c>
      <c r="H99" s="2">
        <f>COUNTIFS(Subetapas!A$2:A$1001,A99,Subetapas!G$2:G$1001,1)</f>
        <v/>
      </c>
      <c r="I99" s="2">
        <f>IF(AND(N10="Concluída",N85="Concluída",N89="Concluída",N90="Concluída",N98="Concluída"),"Sim","Não")</f>
        <v/>
      </c>
      <c r="J99" s="4" t="inlineStr"/>
      <c r="K99" s="4" t="inlineStr"/>
      <c r="L99" s="4" t="inlineStr"/>
      <c r="M99" s="4" t="inlineStr">
        <is>
          <t>Não</t>
        </is>
      </c>
      <c r="N99" s="2">
        <f>IF(AND(H99=10,I99="Sim",LEN(TRIM(J99))&gt;0,LEN(TRIM(K99))&gt;0,LEN(TRIM(L99))&gt;0,M99="Sim"),"Concluída",IF(H99=10,"Revisão ou dependências pendentes",IF(H99&gt;0,"Em andamento","Pendente")))</f>
        <v/>
      </c>
    </row>
    <row r="100" ht="78" customHeight="1">
      <c r="A100" s="2" t="inlineStr">
        <is>
          <t>E099</t>
        </is>
      </c>
      <c r="B100" s="2" t="inlineStr">
        <is>
          <t>Produção e expansão</t>
        </is>
      </c>
      <c r="C100" s="2" t="inlineStr">
        <is>
          <t>Validar uma segunda cooperativa com regras diferentes</t>
        </is>
      </c>
      <c r="D100" s="2" t="inlineStr">
        <is>
          <t>Produto, Compras e Engenharia</t>
        </is>
      </c>
      <c r="E100" s="2" t="inlineStr">
        <is>
          <t>E008, E012, E013, E017, E067, E093, E098</t>
        </is>
      </c>
      <c r="F100" s="2" t="inlineStr">
        <is>
          <t>Configuração e operação de segunda cooperativa</t>
        </is>
      </c>
      <c r="G100" s="2" t="inlineStr">
        <is>
          <t>Variação de política funciona sem duplicar aplicação; isolamento e diferenças de regra são demonstrados.</t>
        </is>
      </c>
      <c r="H100" s="2">
        <f>COUNTIFS(Subetapas!A$2:A$1001,A100,Subetapas!G$2:G$1001,1)</f>
        <v/>
      </c>
      <c r="I100" s="2">
        <f>IF(AND(N9="Concluída",N13="Concluída",N14="Concluída",N18="Concluída",N68="Concluída",N94="Concluída",N99="Concluída"),"Sim","Não")</f>
        <v/>
      </c>
      <c r="J100" s="4" t="inlineStr"/>
      <c r="K100" s="4" t="inlineStr"/>
      <c r="L100" s="4" t="inlineStr"/>
      <c r="M100" s="4" t="inlineStr">
        <is>
          <t>Não</t>
        </is>
      </c>
      <c r="N100" s="2">
        <f>IF(AND(H100=10,I100="Sim",LEN(TRIM(J100))&gt;0,LEN(TRIM(K100))&gt;0,LEN(TRIM(L100))&gt;0,M100="Sim"),"Concluída",IF(H100=10,"Revisão ou dependências pendentes",IF(H100&gt;0,"Em andamento","Pendente")))</f>
        <v/>
      </c>
    </row>
    <row r="101" ht="78" customHeight="1">
      <c r="A101" s="2" t="inlineStr">
        <is>
          <t>E100</t>
        </is>
      </c>
      <c r="B101" s="2" t="inlineStr">
        <is>
          <t>Produção e expansão</t>
        </is>
      </c>
      <c r="C101" s="2" t="inlineStr">
        <is>
          <t>Encerrar a implantação e estabelecer evolução contínua</t>
        </is>
      </c>
      <c r="D101" s="2" t="inlineStr">
        <is>
          <t>Produto, Design, Engenharia e Operação</t>
        </is>
      </c>
      <c r="E101" s="2" t="inlineStr">
        <is>
          <t>E001–E099: todas as etapas anteriores</t>
        </is>
      </c>
      <c r="F101" s="2" t="inlineStr">
        <is>
          <t>Aceite final e próximo ciclo priorizado</t>
        </is>
      </c>
      <c r="G101" s="2" t="inlineStr">
        <is>
          <t>As 100 etapas têm evidência e revisão; operação real, responsabilidades e manutenção estão formalmente transferidas.</t>
        </is>
      </c>
      <c r="H101" s="2">
        <f>COUNTIFS(Subetapas!A$2:A$1001,A101,Subetapas!G$2:G$1001,1)</f>
        <v/>
      </c>
      <c r="I101" s="2">
        <f>IF(AND(N2="Concluída",N3="Concluída",N4="Concluída",N5="Concluída",N6="Concluída",N7="Concluída",N8="Concluída",N9="Concluída",N10="Concluída",N11="Concluída",N12="Concluída",N13="Concluída",N14="Concluída",N15="Concluída",N16="Concluída",N17="Concluída",N18="Concluída",N19="Concluída",N20="Concluída",N21="Concluída",N22="Concluída",N23="Concluída",N24="Concluída",N25="Concluída",N26="Concluída",N27="Concluída",N28="Concluída",N29="Concluída",N30="Concluída",N31="Concluída",N32="Concluída",N33="Concluída",N34="Concluída",N35="Concluída",N36="Concluída",N37="Concluída",N38="Concluída",N39="Concluída",N40="Concluída",N41="Concluída",N42="Concluída",N43="Concluída",N44="Concluída",N45="Concluída",N46="Concluída",N47="Concluída",N48="Concluída",N49="Concluída",N50="Concluída",N51="Concluída",N52="Concluída",N53="Concluída",N54="Concluída",N55="Concluída",N56="Concluída",N57="Concluída",N58="Concluída",N59="Concluída",N60="Concluída",N61="Concluída",N62="Concluída",N63="Concluída",N64="Concluída",N65="Concluída",N66="Concluída",N67="Concluída",N68="Concluída",N69="Concluída",N70="Concluída",N71="Concluída",N72="Concluída",N73="Concluída",N74="Concluída",N75="Concluída",N76="Concluída",N77="Concluída",N78="Concluída",N79="Concluída",N80="Concluída",N81="Concluída",N82="Concluída",N83="Concluída",N84="Concluída",N85="Concluída",N86="Concluída",N87="Concluída",N88="Concluída",N89="Concluída",N90="Concluída",N91="Concluída",N92="Concluída",N93="Concluída",N94="Concluída",N95="Concluída",N96="Concluída",N97="Concluída",N98="Concluída",N99="Concluída",N100="Concluída"),"Sim","Não")</f>
        <v/>
      </c>
      <c r="J101" s="4" t="inlineStr"/>
      <c r="K101" s="4" t="inlineStr"/>
      <c r="L101" s="4" t="inlineStr"/>
      <c r="M101" s="4" t="inlineStr">
        <is>
          <t>Não</t>
        </is>
      </c>
      <c r="N101" s="2">
        <f>IF(AND(H101=10,I101="Sim",LEN(TRIM(J101))&gt;0,LEN(TRIM(K101))&gt;0,LEN(TRIM(L101))&gt;0,M101="Sim"),"Concluída",IF(H101=10,"Revisão ou dependências pendentes",IF(H101&gt;0,"Em andamento","Pendente")))</f>
        <v/>
      </c>
    </row>
  </sheetData>
  <autoFilter ref="A1:N101"/>
  <dataValidations count="1">
    <dataValidation sqref="M2:M101" showDropDown="0" showInputMessage="0" showErrorMessage="1" allowBlank="0" type="list" errorStyle="stop">
      <formula1>"Não,Sim"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0" customWidth="1" min="3" max="3"/>
    <col width="40" customWidth="1" min="4" max="4"/>
    <col width="22" customWidth="1" min="5" max="5"/>
    <col width="65" customWidth="1" min="6" max="6"/>
    <col width="15" customWidth="1" min="7" max="7"/>
    <col width="23" customWidth="1" min="8" max="8"/>
  </cols>
  <sheetData>
    <row r="1" ht="32" customHeight="1">
      <c r="A1" s="1" t="inlineStr">
        <is>
          <t>Etapa</t>
        </is>
      </c>
      <c r="B1" s="1" t="inlineStr">
        <is>
          <t>ID da subetapa</t>
        </is>
      </c>
      <c r="C1" s="1" t="inlineStr">
        <is>
          <t>Ação obrigatória</t>
        </is>
      </c>
      <c r="D1" s="1" t="inlineStr">
        <is>
          <t>Responsável funcional</t>
        </is>
      </c>
      <c r="E1" s="1" t="inlineStr">
        <is>
          <t>Estado informado</t>
        </is>
      </c>
      <c r="F1" s="1" t="inlineStr">
        <is>
          <t>Evidência</t>
        </is>
      </c>
      <c r="G1" s="1" t="inlineStr">
        <is>
          <t>Verificada</t>
        </is>
      </c>
      <c r="H1" s="1" t="inlineStr">
        <is>
          <t>Data do registro</t>
        </is>
      </c>
    </row>
    <row r="2" ht="54" customHeight="1">
      <c r="A2" s="2" t="inlineStr">
        <is>
          <t>E001</t>
        </is>
      </c>
      <c r="B2" s="2" t="inlineStr">
        <is>
          <t>E001.01</t>
        </is>
      </c>
      <c r="C2" s="2" t="inlineStr">
        <is>
          <t>Registrar o commit de referência e os links do diagnóstico anterior.</t>
        </is>
      </c>
      <c r="D2" s="2" t="inlineStr">
        <is>
          <t>Liderança técnica e Produto</t>
        </is>
      </c>
      <c r="E2" s="4" t="inlineStr">
        <is>
          <t>Pendente</t>
        </is>
      </c>
      <c r="F2" s="4" t="inlineStr"/>
      <c r="G2" s="2">
        <f>IF(AND(E2="Concluída",LEN(TRIM(F2))&gt;0),1,0)</f>
        <v/>
      </c>
      <c r="H2" s="4" t="inlineStr"/>
    </row>
    <row r="3" ht="54" customHeight="1">
      <c r="A3" s="2" t="inlineStr">
        <is>
          <t>E001</t>
        </is>
      </c>
      <c r="B3" s="2" t="inlineStr">
        <is>
          <t>E001.02</t>
        </is>
      </c>
      <c r="C3" s="2" t="inlineStr">
        <is>
          <t>Identificar domínio produtivo, prévia e ambiente segregado de testes.</t>
        </is>
      </c>
      <c r="D3" s="2" t="inlineStr">
        <is>
          <t>Liderança técnica e Produto</t>
        </is>
      </c>
      <c r="E3" s="4" t="inlineStr">
        <is>
          <t>Pendente</t>
        </is>
      </c>
      <c r="F3" s="4" t="inlineStr"/>
      <c r="G3" s="2">
        <f>IF(AND(E3="Concluída",LEN(TRIM(F3))&gt;0),1,0)</f>
        <v/>
      </c>
      <c r="H3" s="4" t="inlineStr"/>
    </row>
    <row r="4" ht="54" customHeight="1">
      <c r="A4" s="2" t="inlineStr">
        <is>
          <t>E001</t>
        </is>
      </c>
      <c r="B4" s="2" t="inlineStr">
        <is>
          <t>E001.03</t>
        </is>
      </c>
      <c r="C4" s="2" t="inlineStr">
        <is>
          <t>Confirmar os identificadores dos dois bancos com metadados seguros.</t>
        </is>
      </c>
      <c r="D4" s="2" t="inlineStr">
        <is>
          <t>Liderança técnica e Produto</t>
        </is>
      </c>
      <c r="E4" s="4" t="inlineStr">
        <is>
          <t>Pendente</t>
        </is>
      </c>
      <c r="F4" s="4" t="inlineStr"/>
      <c r="G4" s="2">
        <f>IF(AND(E4="Concluída",LEN(TRIM(F4))&gt;0),1,0)</f>
        <v/>
      </c>
      <c r="H4" s="4" t="inlineStr"/>
    </row>
    <row r="5" ht="54" customHeight="1">
      <c r="A5" s="2" t="inlineStr">
        <is>
          <t>E001</t>
        </is>
      </c>
      <c r="B5" s="2" t="inlineStr">
        <is>
          <t>E001.04</t>
        </is>
      </c>
      <c r="C5" s="2" t="inlineStr">
        <is>
          <t>Relacionar funções publicadas com as funções presentes no repositório.</t>
        </is>
      </c>
      <c r="D5" s="2" t="inlineStr">
        <is>
          <t>Liderança técnica e Produto</t>
        </is>
      </c>
      <c r="E5" s="4" t="inlineStr">
        <is>
          <t>Pendente</t>
        </is>
      </c>
      <c r="F5" s="4" t="inlineStr"/>
      <c r="G5" s="2">
        <f>IF(AND(E5="Concluída",LEN(TRIM(F5))&gt;0),1,0)</f>
        <v/>
      </c>
      <c r="H5" s="4" t="inlineStr"/>
    </row>
    <row r="6" ht="54" customHeight="1">
      <c r="A6" s="2" t="inlineStr">
        <is>
          <t>E001</t>
        </is>
      </c>
      <c r="B6" s="2" t="inlineStr">
        <is>
          <t>E001.05</t>
        </is>
      </c>
      <c r="C6" s="2" t="inlineStr">
        <is>
          <t>Classificar telas entre demonstradas, parcialmente funcionais e sem evidência.</t>
        </is>
      </c>
      <c r="D6" s="2" t="inlineStr">
        <is>
          <t>Liderança técnica e Produto</t>
        </is>
      </c>
      <c r="E6" s="4" t="inlineStr">
        <is>
          <t>Pendente</t>
        </is>
      </c>
      <c r="F6" s="4" t="inlineStr"/>
      <c r="G6" s="2">
        <f>IF(AND(E6="Concluída",LEN(TRIM(F6))&gt;0),1,0)</f>
        <v/>
      </c>
      <c r="H6" s="4" t="inlineStr"/>
    </row>
    <row r="7" ht="54" customHeight="1">
      <c r="A7" s="2" t="inlineStr">
        <is>
          <t>E001</t>
        </is>
      </c>
      <c r="B7" s="2" t="inlineStr">
        <is>
          <t>E001.06</t>
        </is>
      </c>
      <c r="C7" s="2" t="inlineStr">
        <is>
          <t>Registrar os resultados reais de build, tipos e testes disponíveis.</t>
        </is>
      </c>
      <c r="D7" s="2" t="inlineStr">
        <is>
          <t>Liderança técnica e Produto</t>
        </is>
      </c>
      <c r="E7" s="4" t="inlineStr">
        <is>
          <t>Pendente</t>
        </is>
      </c>
      <c r="F7" s="4" t="inlineStr"/>
      <c r="G7" s="2">
        <f>IF(AND(E7="Concluída",LEN(TRIM(F7))&gt;0),1,0)</f>
        <v/>
      </c>
      <c r="H7" s="4" t="inlineStr"/>
    </row>
    <row r="8" ht="54" customHeight="1">
      <c r="A8" s="2" t="inlineStr">
        <is>
          <t>E001</t>
        </is>
      </c>
      <c r="B8" s="2" t="inlineStr">
        <is>
          <t>E001.07</t>
        </is>
      </c>
      <c r="C8" s="2" t="inlineStr">
        <is>
          <t>Catalogar divergências entre documentação, configuração e comportamento observado.</t>
        </is>
      </c>
      <c r="D8" s="2" t="inlineStr">
        <is>
          <t>Liderança técnica e Produto</t>
        </is>
      </c>
      <c r="E8" s="4" t="inlineStr">
        <is>
          <t>Pendente</t>
        </is>
      </c>
      <c r="F8" s="4" t="inlineStr"/>
      <c r="G8" s="2">
        <f>IF(AND(E8="Concluída",LEN(TRIM(F8))&gt;0),1,0)</f>
        <v/>
      </c>
      <c r="H8" s="4" t="inlineStr"/>
    </row>
    <row r="9" ht="54" customHeight="1">
      <c r="A9" s="2" t="inlineStr">
        <is>
          <t>E001</t>
        </is>
      </c>
      <c r="B9" s="2" t="inlineStr">
        <is>
          <t>E001.08</t>
        </is>
      </c>
      <c r="C9" s="2" t="inlineStr">
        <is>
          <t>Mapear responsáveis por produto, marca, compra, operação e infraestrutura.</t>
        </is>
      </c>
      <c r="D9" s="2" t="inlineStr">
        <is>
          <t>Liderança técnica e Produto</t>
        </is>
      </c>
      <c r="E9" s="4" t="inlineStr">
        <is>
          <t>Pendente</t>
        </is>
      </c>
      <c r="F9" s="4" t="inlineStr"/>
      <c r="G9" s="2">
        <f>IF(AND(E9="Concluída",LEN(TRIM(F9))&gt;0),1,0)</f>
        <v/>
      </c>
      <c r="H9" s="4" t="inlineStr"/>
    </row>
    <row r="10" ht="54" customHeight="1">
      <c r="A10" s="2" t="inlineStr">
        <is>
          <t>E001</t>
        </is>
      </c>
      <c r="B10" s="2" t="inlineStr">
        <is>
          <t>E001.09</t>
        </is>
      </c>
      <c r="C10" s="2" t="inlineStr">
        <is>
          <t>Criar um registro de decisões com data, justificativa e impacto.</t>
        </is>
      </c>
      <c r="D10" s="2" t="inlineStr">
        <is>
          <t>Liderança técnica e Produto</t>
        </is>
      </c>
      <c r="E10" s="4" t="inlineStr">
        <is>
          <t>Pendente</t>
        </is>
      </c>
      <c r="F10" s="4" t="inlineStr"/>
      <c r="G10" s="2">
        <f>IF(AND(E10="Concluída",LEN(TRIM(F10))&gt;0),1,0)</f>
        <v/>
      </c>
      <c r="H10" s="4" t="inlineStr"/>
    </row>
    <row r="11" ht="54" customHeight="1">
      <c r="A11" s="2" t="inlineStr">
        <is>
          <t>E001</t>
        </is>
      </c>
      <c r="B11" s="2" t="inlineStr">
        <is>
          <t>E001.10</t>
        </is>
      </c>
      <c r="C11" s="2" t="inlineStr">
        <is>
          <t>Revisar o inventário e anexar evidências de cada afirmação operacional.</t>
        </is>
      </c>
      <c r="D11" s="2" t="inlineStr">
        <is>
          <t>Liderança técnica e Produto</t>
        </is>
      </c>
      <c r="E11" s="4" t="inlineStr">
        <is>
          <t>Pendente</t>
        </is>
      </c>
      <c r="F11" s="4" t="inlineStr"/>
      <c r="G11" s="2">
        <f>IF(AND(E11="Concluída",LEN(TRIM(F11))&gt;0),1,0)</f>
        <v/>
      </c>
      <c r="H11" s="4" t="inlineStr"/>
    </row>
    <row r="12" ht="54" customHeight="1">
      <c r="A12" s="2" t="inlineStr">
        <is>
          <t>E002</t>
        </is>
      </c>
      <c r="B12" s="2" t="inlineStr">
        <is>
          <t>E002.01</t>
        </is>
      </c>
      <c r="C12" s="2" t="inlineStr">
        <is>
          <t>Verificar por inventário seguro se migrate-helper está publicado.</t>
        </is>
      </c>
      <c r="D12" s="2" t="inlineStr">
        <is>
          <t>Engenharia de segurança</t>
        </is>
      </c>
      <c r="E12" s="4" t="inlineStr">
        <is>
          <t>Pendente</t>
        </is>
      </c>
      <c r="F12" s="4" t="inlineStr"/>
      <c r="G12" s="2">
        <f>IF(AND(E12="Concluída",LEN(TRIM(F12))&gt;0),1,0)</f>
        <v/>
      </c>
      <c r="H12" s="4" t="inlineStr"/>
    </row>
    <row r="13" ht="54" customHeight="1">
      <c r="A13" s="2" t="inlineStr">
        <is>
          <t>E002</t>
        </is>
      </c>
      <c r="B13" s="2" t="inlineStr">
        <is>
          <t>E002.02</t>
        </is>
      </c>
      <c r="C13" s="2" t="inlineStr">
        <is>
          <t>Inspecionar a configuração de autorização sem invocar retorno de segredos.</t>
        </is>
      </c>
      <c r="D13" s="2" t="inlineStr">
        <is>
          <t>Engenharia de segurança</t>
        </is>
      </c>
      <c r="E13" s="4" t="inlineStr">
        <is>
          <t>Pendente</t>
        </is>
      </c>
      <c r="F13" s="4" t="inlineStr"/>
      <c r="G13" s="2">
        <f>IF(AND(E13="Concluída",LEN(TRIM(F13))&gt;0),1,0)</f>
        <v/>
      </c>
      <c r="H13" s="4" t="inlineStr"/>
    </row>
    <row r="14" ht="54" customHeight="1">
      <c r="A14" s="2" t="inlineStr">
        <is>
          <t>E002</t>
        </is>
      </c>
      <c r="B14" s="2" t="inlineStr">
        <is>
          <t>E002.03</t>
        </is>
      </c>
      <c r="C14" s="2" t="inlineStr">
        <is>
          <t>Remover o comportamento de exportação de credenciais do código.</t>
        </is>
      </c>
      <c r="D14" s="2" t="inlineStr">
        <is>
          <t>Engenharia de segurança</t>
        </is>
      </c>
      <c r="E14" s="4" t="inlineStr">
        <is>
          <t>Pendente</t>
        </is>
      </c>
      <c r="F14" s="4" t="inlineStr"/>
      <c r="G14" s="2">
        <f>IF(AND(E14="Concluída",LEN(TRIM(F14))&gt;0),1,0)</f>
        <v/>
      </c>
      <c r="H14" s="4" t="inlineStr"/>
    </row>
    <row r="15" ht="54" customHeight="1">
      <c r="A15" s="2" t="inlineStr">
        <is>
          <t>E002</t>
        </is>
      </c>
      <c r="B15" s="2" t="inlineStr">
        <is>
          <t>E002.04</t>
        </is>
      </c>
      <c r="C15" s="2" t="inlineStr">
        <is>
          <t>Retirar a função publicada ou desativar sua capacidade indevida.</t>
        </is>
      </c>
      <c r="D15" s="2" t="inlineStr">
        <is>
          <t>Engenharia de segurança</t>
        </is>
      </c>
      <c r="E15" s="4" t="inlineStr">
        <is>
          <t>Pendente</t>
        </is>
      </c>
      <c r="F15" s="4" t="inlineStr"/>
      <c r="G15" s="2">
        <f>IF(AND(E15="Concluída",LEN(TRIM(F15))&gt;0),1,0)</f>
        <v/>
      </c>
      <c r="H15" s="4" t="inlineStr"/>
    </row>
    <row r="16" ht="54" customHeight="1">
      <c r="A16" s="2" t="inlineStr">
        <is>
          <t>E002</t>
        </is>
      </c>
      <c r="B16" s="2" t="inlineStr">
        <is>
          <t>E002.05</t>
        </is>
      </c>
      <c r="C16" s="2" t="inlineStr">
        <is>
          <t>Investigar registros disponíveis para delimitar eventual exposição anterior.</t>
        </is>
      </c>
      <c r="D16" s="2" t="inlineStr">
        <is>
          <t>Engenharia de segurança</t>
        </is>
      </c>
      <c r="E16" s="4" t="inlineStr">
        <is>
          <t>Pendente</t>
        </is>
      </c>
      <c r="F16" s="4" t="inlineStr"/>
      <c r="G16" s="2">
        <f>IF(AND(E16="Concluída",LEN(TRIM(F16))&gt;0),1,0)</f>
        <v/>
      </c>
      <c r="H16" s="4" t="inlineStr"/>
    </row>
    <row r="17" ht="54" customHeight="1">
      <c r="A17" s="2" t="inlineStr">
        <is>
          <t>E002</t>
        </is>
      </c>
      <c r="B17" s="2" t="inlineStr">
        <is>
          <t>E002.06</t>
        </is>
      </c>
      <c r="C17" s="2" t="inlineStr">
        <is>
          <t>Rotacionar credenciais afetadas conforme a exposição constatada e validar consumidores.</t>
        </is>
      </c>
      <c r="D17" s="2" t="inlineStr">
        <is>
          <t>Engenharia de segurança</t>
        </is>
      </c>
      <c r="E17" s="4" t="inlineStr">
        <is>
          <t>Pendente</t>
        </is>
      </c>
      <c r="F17" s="4" t="inlineStr"/>
      <c r="G17" s="2">
        <f>IF(AND(E17="Concluída",LEN(TRIM(F17))&gt;0),1,0)</f>
        <v/>
      </c>
      <c r="H17" s="4" t="inlineStr"/>
    </row>
    <row r="18" ht="54" customHeight="1">
      <c r="A18" s="2" t="inlineStr">
        <is>
          <t>E002</t>
        </is>
      </c>
      <c r="B18" s="2" t="inlineStr">
        <is>
          <t>E002.07</t>
        </is>
      </c>
      <c r="C18" s="2" t="inlineStr">
        <is>
          <t>Eliminar acesso rápido e reparação de usuários do build produtivo.</t>
        </is>
      </c>
      <c r="D18" s="2" t="inlineStr">
        <is>
          <t>Engenharia de segurança</t>
        </is>
      </c>
      <c r="E18" s="4" t="inlineStr">
        <is>
          <t>Pendente</t>
        </is>
      </c>
      <c r="F18" s="4" t="inlineStr"/>
      <c r="G18" s="2">
        <f>IF(AND(E18="Concluída",LEN(TRIM(F18))&gt;0),1,0)</f>
        <v/>
      </c>
      <c r="H18" s="4" t="inlineStr"/>
    </row>
    <row r="19" ht="54" customHeight="1">
      <c r="A19" s="2" t="inlineStr">
        <is>
          <t>E002</t>
        </is>
      </c>
      <c r="B19" s="2" t="inlineStr">
        <is>
          <t>E002.08</t>
        </is>
      </c>
      <c r="C19" s="2" t="inlineStr">
        <is>
          <t>Separar utilitários de diagnóstico dos privilégios do comprador comum.</t>
        </is>
      </c>
      <c r="D19" s="2" t="inlineStr">
        <is>
          <t>Engenharia de segurança</t>
        </is>
      </c>
      <c r="E19" s="4" t="inlineStr">
        <is>
          <t>Pendente</t>
        </is>
      </c>
      <c r="F19" s="4" t="inlineStr"/>
      <c r="G19" s="2">
        <f>IF(AND(E19="Concluída",LEN(TRIM(F19))&gt;0),1,0)</f>
        <v/>
      </c>
      <c r="H19" s="4" t="inlineStr"/>
    </row>
    <row r="20" ht="54" customHeight="1">
      <c r="A20" s="2" t="inlineStr">
        <is>
          <t>E002</t>
        </is>
      </c>
      <c r="B20" s="2" t="inlineStr">
        <is>
          <t>E002.09</t>
        </is>
      </c>
      <c r="C20" s="2" t="inlineStr">
        <is>
          <t>Executar o gate que identifica retorno de credenciais e manifesto incompleto.</t>
        </is>
      </c>
      <c r="D20" s="2" t="inlineStr">
        <is>
          <t>Engenharia de segurança</t>
        </is>
      </c>
      <c r="E20" s="4" t="inlineStr">
        <is>
          <t>Pendente</t>
        </is>
      </c>
      <c r="F20" s="4" t="inlineStr"/>
      <c r="G20" s="2">
        <f>IF(AND(E20="Concluída",LEN(TRIM(F20))&gt;0),1,0)</f>
        <v/>
      </c>
      <c r="H20" s="4" t="inlineStr"/>
    </row>
    <row r="21" ht="54" customHeight="1">
      <c r="A21" s="2" t="inlineStr">
        <is>
          <t>E002</t>
        </is>
      </c>
      <c r="B21" s="2" t="inlineStr">
        <is>
          <t>E002.10</t>
        </is>
      </c>
      <c r="C21" s="2" t="inlineStr">
        <is>
          <t>Registrar código, estado publicado e evidência de contenção revisada.</t>
        </is>
      </c>
      <c r="D21" s="2" t="inlineStr">
        <is>
          <t>Engenharia de segurança</t>
        </is>
      </c>
      <c r="E21" s="4" t="inlineStr">
        <is>
          <t>Pendente</t>
        </is>
      </c>
      <c r="F21" s="4" t="inlineStr"/>
      <c r="G21" s="2">
        <f>IF(AND(E21="Concluída",LEN(TRIM(F21))&gt;0),1,0)</f>
        <v/>
      </c>
      <c r="H21" s="4" t="inlineStr"/>
    </row>
    <row r="22" ht="54" customHeight="1">
      <c r="A22" s="2" t="inlineStr">
        <is>
          <t>E003</t>
        </is>
      </c>
      <c r="B22" s="2" t="inlineStr">
        <is>
          <t>E003.01</t>
        </is>
      </c>
      <c r="C22" s="2" t="inlineStr">
        <is>
          <t>Definir doufsxqlfjyuvxuezpln como fonte mestre de produtos e disponibilidade.</t>
        </is>
      </c>
      <c r="D22" s="2" t="inlineStr">
        <is>
          <t>Engenharia de dados e Backend</t>
        </is>
      </c>
      <c r="E22" s="4" t="inlineStr">
        <is>
          <t>Pendente</t>
        </is>
      </c>
      <c r="F22" s="4" t="inlineStr"/>
      <c r="G22" s="2">
        <f>IF(AND(E22="Concluída",LEN(TRIM(F22))&gt;0),1,0)</f>
        <v/>
      </c>
      <c r="H22" s="4" t="inlineStr"/>
    </row>
    <row r="23" ht="54" customHeight="1">
      <c r="A23" s="2" t="inlineStr">
        <is>
          <t>E003</t>
        </is>
      </c>
      <c r="B23" s="2" t="inlineStr">
        <is>
          <t>E003.02</t>
        </is>
      </c>
      <c r="C23" s="2" t="inlineStr">
        <is>
          <t>Separar responsabilidades comerciais do portal das responsabilidades do catálogo.</t>
        </is>
      </c>
      <c r="D23" s="2" t="inlineStr">
        <is>
          <t>Engenharia de dados e Backend</t>
        </is>
      </c>
      <c r="E23" s="4" t="inlineStr">
        <is>
          <t>Pendente</t>
        </is>
      </c>
      <c r="F23" s="4" t="inlineStr"/>
      <c r="G23" s="2">
        <f>IF(AND(E23="Concluída",LEN(TRIM(F23))&gt;0),1,0)</f>
        <v/>
      </c>
      <c r="H23" s="4" t="inlineStr"/>
    </row>
    <row r="24" ht="54" customHeight="1">
      <c r="A24" s="2" t="inlineStr">
        <is>
          <t>E003</t>
        </is>
      </c>
      <c r="B24" s="2" t="inlineStr">
        <is>
          <t>E003.03</t>
        </is>
      </c>
      <c r="C24" s="2" t="inlineStr">
        <is>
          <t>Listar tabelas, visões e colunas necessárias à experiência do comprador.</t>
        </is>
      </c>
      <c r="D24" s="2" t="inlineStr">
        <is>
          <t>Engenharia de dados e Backend</t>
        </is>
      </c>
      <c r="E24" s="4" t="inlineStr">
        <is>
          <t>Pendente</t>
        </is>
      </c>
      <c r="F24" s="4" t="inlineStr"/>
      <c r="G24" s="2">
        <f>IF(AND(E24="Concluída",LEN(TRIM(F24))&gt;0),1,0)</f>
        <v/>
      </c>
      <c r="H24" s="4" t="inlineStr"/>
    </row>
    <row r="25" ht="54" customHeight="1">
      <c r="A25" s="2" t="inlineStr">
        <is>
          <t>E003</t>
        </is>
      </c>
      <c r="B25" s="2" t="inlineStr">
        <is>
          <t>E003.04</t>
        </is>
      </c>
      <c r="C25" s="2" t="inlineStr">
        <is>
          <t>Excluir escrita, exclusão, upsert e importação do contrato dessa integração.</t>
        </is>
      </c>
      <c r="D25" s="2" t="inlineStr">
        <is>
          <t>Engenharia de dados e Backend</t>
        </is>
      </c>
      <c r="E25" s="4" t="inlineStr">
        <is>
          <t>Pendente</t>
        </is>
      </c>
      <c r="F25" s="4" t="inlineStr"/>
      <c r="G25" s="2">
        <f>IF(AND(E25="Concluída",LEN(TRIM(F25))&gt;0),1,0)</f>
        <v/>
      </c>
      <c r="H25" s="4" t="inlineStr"/>
    </row>
    <row r="26" ht="54" customHeight="1">
      <c r="A26" s="2" t="inlineStr">
        <is>
          <t>E003</t>
        </is>
      </c>
      <c r="B26" s="2" t="inlineStr">
        <is>
          <t>E003.05</t>
        </is>
      </c>
      <c r="C26" s="2" t="inlineStr">
        <is>
          <t>Revisar efeitos de cada RPC antes de permiti-la como consulta.</t>
        </is>
      </c>
      <c r="D26" s="2" t="inlineStr">
        <is>
          <t>Engenharia de dados e Backend</t>
        </is>
      </c>
      <c r="E26" s="4" t="inlineStr">
        <is>
          <t>Pendente</t>
        </is>
      </c>
      <c r="F26" s="4" t="inlineStr"/>
      <c r="G26" s="2">
        <f>IF(AND(E26="Concluída",LEN(TRIM(F26))&gt;0),1,0)</f>
        <v/>
      </c>
      <c r="H26" s="4" t="inlineStr"/>
    </row>
    <row r="27" ht="54" customHeight="1">
      <c r="A27" s="2" t="inlineStr">
        <is>
          <t>E003</t>
        </is>
      </c>
      <c r="B27" s="2" t="inlineStr">
        <is>
          <t>E003.06</t>
        </is>
      </c>
      <c r="C27" s="2" t="inlineStr">
        <is>
          <t>Configurar identidade de origem com privilégios mínimos de leitura.</t>
        </is>
      </c>
      <c r="D27" s="2" t="inlineStr">
        <is>
          <t>Engenharia de dados e Backend</t>
        </is>
      </c>
      <c r="E27" s="4" t="inlineStr">
        <is>
          <t>Pendente</t>
        </is>
      </c>
      <c r="F27" s="4" t="inlineStr"/>
      <c r="G27" s="2">
        <f>IF(AND(E27="Concluída",LEN(TRIM(F27))&gt;0),1,0)</f>
        <v/>
      </c>
      <c r="H27" s="4" t="inlineStr"/>
    </row>
    <row r="28" ht="54" customHeight="1">
      <c r="A28" s="2" t="inlineStr">
        <is>
          <t>E003</t>
        </is>
      </c>
      <c r="B28" s="2" t="inlineStr">
        <is>
          <t>E003.07</t>
        </is>
      </c>
      <c r="C28" s="2" t="inlineStr">
        <is>
          <t>Impedir exposição de custo interno e referências restritas ao comprador.</t>
        </is>
      </c>
      <c r="D28" s="2" t="inlineStr">
        <is>
          <t>Engenharia de dados e Backend</t>
        </is>
      </c>
      <c r="E28" s="4" t="inlineStr">
        <is>
          <t>Pendente</t>
        </is>
      </c>
      <c r="F28" s="4" t="inlineStr"/>
      <c r="G28" s="2">
        <f>IF(AND(E28="Concluída",LEN(TRIM(F28))&gt;0),1,0)</f>
        <v/>
      </c>
      <c r="H28" s="4" t="inlineStr"/>
    </row>
    <row r="29" ht="54" customHeight="1">
      <c r="A29" s="2" t="inlineStr">
        <is>
          <t>E003</t>
        </is>
      </c>
      <c r="B29" s="2" t="inlineStr">
        <is>
          <t>E003.08</t>
        </is>
      </c>
      <c r="C29" s="2" t="inlineStr">
        <is>
          <t>Distinguir integração indisponível, acesso negado e consulta sem resultados.</t>
        </is>
      </c>
      <c r="D29" s="2" t="inlineStr">
        <is>
          <t>Engenharia de dados e Backend</t>
        </is>
      </c>
      <c r="E29" s="4" t="inlineStr">
        <is>
          <t>Pendente</t>
        </is>
      </c>
      <c r="F29" s="4" t="inlineStr"/>
      <c r="G29" s="2">
        <f>IF(AND(E29="Concluída",LEN(TRIM(F29))&gt;0),1,0)</f>
        <v/>
      </c>
      <c r="H29" s="4" t="inlineStr"/>
    </row>
    <row r="30" ht="54" customHeight="1">
      <c r="A30" s="2" t="inlineStr">
        <is>
          <t>E003</t>
        </is>
      </c>
      <c r="B30" s="2" t="inlineStr">
        <is>
          <t>E003.09</t>
        </is>
      </c>
      <c r="C30" s="2" t="inlineStr">
        <is>
          <t>Validar uma amostra mínima de produto, variante, preço e estoque.</t>
        </is>
      </c>
      <c r="D30" s="2" t="inlineStr">
        <is>
          <t>Engenharia de dados e Backend</t>
        </is>
      </c>
      <c r="E30" s="4" t="inlineStr">
        <is>
          <t>Pendente</t>
        </is>
      </c>
      <c r="F30" s="4" t="inlineStr"/>
      <c r="G30" s="2">
        <f>IF(AND(E30="Concluída",LEN(TRIM(F30))&gt;0),1,0)</f>
        <v/>
      </c>
      <c r="H30" s="4" t="inlineStr"/>
    </row>
    <row r="31" ht="54" customHeight="1">
      <c r="A31" s="2" t="inlineStr">
        <is>
          <t>E003</t>
        </is>
      </c>
      <c r="B31" s="2" t="inlineStr">
        <is>
          <t>E003.10</t>
        </is>
      </c>
      <c r="C31" s="2" t="inlineStr">
        <is>
          <t>Comprovar restrições por configuração e testes segregados, sem gravar no mestre.</t>
        </is>
      </c>
      <c r="D31" s="2" t="inlineStr">
        <is>
          <t>Engenharia de dados e Backend</t>
        </is>
      </c>
      <c r="E31" s="4" t="inlineStr">
        <is>
          <t>Pendente</t>
        </is>
      </c>
      <c r="F31" s="4" t="inlineStr"/>
      <c r="G31" s="2">
        <f>IF(AND(E31="Concluída",LEN(TRIM(F31))&gt;0),1,0)</f>
        <v/>
      </c>
      <c r="H31" s="4" t="inlineStr"/>
    </row>
    <row r="32" ht="54" customHeight="1">
      <c r="A32" s="2" t="inlineStr">
        <is>
          <t>E004</t>
        </is>
      </c>
      <c r="B32" s="2" t="inlineStr">
        <is>
          <t>E004.01</t>
        </is>
      </c>
      <c r="C32" s="2" t="inlineStr">
        <is>
          <t>Selecionar perguntas sobre retrabalho, prazo, confiança e tomada de decisão.</t>
        </is>
      </c>
      <c r="D32" s="2" t="inlineStr">
        <is>
          <t>Pesquisa UX e Produto</t>
        </is>
      </c>
      <c r="E32" s="4" t="inlineStr">
        <is>
          <t>Pendente</t>
        </is>
      </c>
      <c r="F32" s="4" t="inlineStr"/>
      <c r="G32" s="2">
        <f>IF(AND(E32="Concluída",LEN(TRIM(F32))&gt;0),1,0)</f>
        <v/>
      </c>
      <c r="H32" s="4" t="inlineStr"/>
    </row>
    <row r="33" ht="54" customHeight="1">
      <c r="A33" s="2" t="inlineStr">
        <is>
          <t>E004</t>
        </is>
      </c>
      <c r="B33" s="2" t="inlineStr">
        <is>
          <t>E004.02</t>
        </is>
      </c>
      <c r="C33" s="2" t="inlineStr">
        <is>
          <t>Definir amostra inicial de compras, marketing, PAs, financeiro e operação.</t>
        </is>
      </c>
      <c r="D33" s="2" t="inlineStr">
        <is>
          <t>Pesquisa UX e Produto</t>
        </is>
      </c>
      <c r="E33" s="4" t="inlineStr">
        <is>
          <t>Pendente</t>
        </is>
      </c>
      <c r="F33" s="4" t="inlineStr"/>
      <c r="G33" s="2">
        <f>IF(AND(E33="Concluída",LEN(TRIM(F33))&gt;0),1,0)</f>
        <v/>
      </c>
      <c r="H33" s="4" t="inlineStr"/>
    </row>
    <row r="34" ht="54" customHeight="1">
      <c r="A34" s="2" t="inlineStr">
        <is>
          <t>E004</t>
        </is>
      </c>
      <c r="B34" s="2" t="inlineStr">
        <is>
          <t>E004.03</t>
        </is>
      </c>
      <c r="C34" s="2" t="inlineStr">
        <is>
          <t>Incluir cooperativas com regras de compra diferentes na seleção.</t>
        </is>
      </c>
      <c r="D34" s="2" t="inlineStr">
        <is>
          <t>Pesquisa UX e Produto</t>
        </is>
      </c>
      <c r="E34" s="4" t="inlineStr">
        <is>
          <t>Pendente</t>
        </is>
      </c>
      <c r="F34" s="4" t="inlineStr"/>
      <c r="G34" s="2">
        <f>IF(AND(E34="Concluída",LEN(TRIM(F34))&gt;0),1,0)</f>
        <v/>
      </c>
      <c r="H34" s="4" t="inlineStr"/>
    </row>
    <row r="35" ht="54" customHeight="1">
      <c r="A35" s="2" t="inlineStr">
        <is>
          <t>E004</t>
        </is>
      </c>
      <c r="B35" s="2" t="inlineStr">
        <is>
          <t>E004.04</t>
        </is>
      </c>
      <c r="C35" s="2" t="inlineStr">
        <is>
          <t>Obter autorização para convites e sessões com participantes reais.</t>
        </is>
      </c>
      <c r="D35" s="2" t="inlineStr">
        <is>
          <t>Pesquisa UX e Produto</t>
        </is>
      </c>
      <c r="E35" s="4" t="inlineStr">
        <is>
          <t>Pendente</t>
        </is>
      </c>
      <c r="F35" s="4" t="inlineStr"/>
      <c r="G35" s="2">
        <f>IF(AND(E35="Concluída",LEN(TRIM(F35))&gt;0),1,0)</f>
        <v/>
      </c>
      <c r="H35" s="4" t="inlineStr"/>
    </row>
    <row r="36" ht="54" customHeight="1">
      <c r="A36" s="2" t="inlineStr">
        <is>
          <t>E004</t>
        </is>
      </c>
      <c r="B36" s="2" t="inlineStr">
        <is>
          <t>E004.05</t>
        </is>
      </c>
      <c r="C36" s="2" t="inlineStr">
        <is>
          <t>Preparar consentimento e uso mínimo dos registros de pesquisa.</t>
        </is>
      </c>
      <c r="D36" s="2" t="inlineStr">
        <is>
          <t>Pesquisa UX e Produto</t>
        </is>
      </c>
      <c r="E36" s="4" t="inlineStr">
        <is>
          <t>Pendente</t>
        </is>
      </c>
      <c r="F36" s="4" t="inlineStr"/>
      <c r="G36" s="2">
        <f>IF(AND(E36="Concluída",LEN(TRIM(F36))&gt;0),1,0)</f>
        <v/>
      </c>
      <c r="H36" s="4" t="inlineStr"/>
    </row>
    <row r="37" ht="54" customHeight="1">
      <c r="A37" s="2" t="inlineStr">
        <is>
          <t>E004</t>
        </is>
      </c>
      <c r="B37" s="2" t="inlineStr">
        <is>
          <t>E004.06</t>
        </is>
      </c>
      <c r="C37" s="2" t="inlineStr">
        <is>
          <t>Solicitar exemplos anonimizados de pedidos, propostas e artes anteriores.</t>
        </is>
      </c>
      <c r="D37" s="2" t="inlineStr">
        <is>
          <t>Pesquisa UX e Produto</t>
        </is>
      </c>
      <c r="E37" s="4" t="inlineStr">
        <is>
          <t>Pendente</t>
        </is>
      </c>
      <c r="F37" s="4" t="inlineStr"/>
      <c r="G37" s="2">
        <f>IF(AND(E37="Concluída",LEN(TRIM(F37))&gt;0),1,0)</f>
        <v/>
      </c>
      <c r="H37" s="4" t="inlineStr"/>
    </row>
    <row r="38" ht="54" customHeight="1">
      <c r="A38" s="2" t="inlineStr">
        <is>
          <t>E004</t>
        </is>
      </c>
      <c r="B38" s="2" t="inlineStr">
        <is>
          <t>E004.07</t>
        </is>
      </c>
      <c r="C38" s="2" t="inlineStr">
        <is>
          <t>Preparar roteiro baseado no último pedido efetivamente realizado.</t>
        </is>
      </c>
      <c r="D38" s="2" t="inlineStr">
        <is>
          <t>Pesquisa UX e Produto</t>
        </is>
      </c>
      <c r="E38" s="4" t="inlineStr">
        <is>
          <t>Pendente</t>
        </is>
      </c>
      <c r="F38" s="4" t="inlineStr"/>
      <c r="G38" s="2">
        <f>IF(AND(E38="Concluída",LEN(TRIM(F38))&gt;0),1,0)</f>
        <v/>
      </c>
      <c r="H38" s="4" t="inlineStr"/>
    </row>
    <row r="39" ht="54" customHeight="1">
      <c r="A39" s="2" t="inlineStr">
        <is>
          <t>E004</t>
        </is>
      </c>
      <c r="B39" s="2" t="inlineStr">
        <is>
          <t>E004.08</t>
        </is>
      </c>
      <c r="C39" s="2" t="inlineStr">
        <is>
          <t>Conduzir sessões sem transformar sugestões do entrevistador em respostas.</t>
        </is>
      </c>
      <c r="D39" s="2" t="inlineStr">
        <is>
          <t>Pesquisa UX e Produto</t>
        </is>
      </c>
      <c r="E39" s="4" t="inlineStr">
        <is>
          <t>Pendente</t>
        </is>
      </c>
      <c r="F39" s="4" t="inlineStr"/>
      <c r="G39" s="2">
        <f>IF(AND(E39="Concluída",LEN(TRIM(F39))&gt;0),1,0)</f>
        <v/>
      </c>
      <c r="H39" s="4" t="inlineStr"/>
    </row>
    <row r="40" ht="54" customHeight="1">
      <c r="A40" s="2" t="inlineStr">
        <is>
          <t>E004</t>
        </is>
      </c>
      <c r="B40" s="2" t="inlineStr">
        <is>
          <t>E004.09</t>
        </is>
      </c>
      <c r="C40" s="2" t="inlineStr">
        <is>
          <t>Registrar barreiras observadas, frequência na amostra e contexto de ocorrência.</t>
        </is>
      </c>
      <c r="D40" s="2" t="inlineStr">
        <is>
          <t>Pesquisa UX e Produto</t>
        </is>
      </c>
      <c r="E40" s="4" t="inlineStr">
        <is>
          <t>Pendente</t>
        </is>
      </c>
      <c r="F40" s="4" t="inlineStr"/>
      <c r="G40" s="2">
        <f>IF(AND(E40="Concluída",LEN(TRIM(F40))&gt;0),1,0)</f>
        <v/>
      </c>
      <c r="H40" s="4" t="inlineStr"/>
    </row>
    <row r="41" ht="54" customHeight="1">
      <c r="A41" s="2" t="inlineStr">
        <is>
          <t>E004</t>
        </is>
      </c>
      <c r="B41" s="2" t="inlineStr">
        <is>
          <t>E004.10</t>
        </is>
      </c>
      <c r="C41" s="2" t="inlineStr">
        <is>
          <t>Revisar a síntese com rastreabilidade, sem generalizar a amostra ao sistema inteiro.</t>
        </is>
      </c>
      <c r="D41" s="2" t="inlineStr">
        <is>
          <t>Pesquisa UX e Produto</t>
        </is>
      </c>
      <c r="E41" s="4" t="inlineStr">
        <is>
          <t>Pendente</t>
        </is>
      </c>
      <c r="F41" s="4" t="inlineStr"/>
      <c r="G41" s="2">
        <f>IF(AND(E41="Concluída",LEN(TRIM(F41))&gt;0),1,0)</f>
        <v/>
      </c>
      <c r="H41" s="4" t="inlineStr"/>
    </row>
    <row r="42" ht="54" customHeight="1">
      <c r="A42" s="2" t="inlineStr">
        <is>
          <t>E005</t>
        </is>
      </c>
      <c r="B42" s="2" t="inlineStr">
        <is>
          <t>E005.01</t>
        </is>
      </c>
      <c r="C42" s="2" t="inlineStr">
        <is>
          <t>Descrever o trabalho do solicitante de PA sem associá-lo a um cargo único.</t>
        </is>
      </c>
      <c r="D42" s="2" t="inlineStr">
        <is>
          <t>Pesquisa UX e Estratégia</t>
        </is>
      </c>
      <c r="E42" s="4" t="inlineStr">
        <is>
          <t>Pendente</t>
        </is>
      </c>
      <c r="F42" s="4" t="inlineStr"/>
      <c r="G42" s="2">
        <f>IF(AND(E42="Concluída",LEN(TRIM(F42))&gt;0),1,0)</f>
        <v/>
      </c>
      <c r="H42" s="4" t="inlineStr"/>
    </row>
    <row r="43" ht="54" customHeight="1">
      <c r="A43" s="2" t="inlineStr">
        <is>
          <t>E005</t>
        </is>
      </c>
      <c r="B43" s="2" t="inlineStr">
        <is>
          <t>E005.02</t>
        </is>
      </c>
      <c r="C43" s="2" t="inlineStr">
        <is>
          <t>Caracterizar a responsabilidade de compras sobre comparação e contratação.</t>
        </is>
      </c>
      <c r="D43" s="2" t="inlineStr">
        <is>
          <t>Pesquisa UX e Estratégia</t>
        </is>
      </c>
      <c r="E43" s="4" t="inlineStr">
        <is>
          <t>Pendente</t>
        </is>
      </c>
      <c r="F43" s="4" t="inlineStr"/>
      <c r="G43" s="2">
        <f>IF(AND(E43="Concluída",LEN(TRIM(F43))&gt;0),1,0)</f>
        <v/>
      </c>
      <c r="H43" s="4" t="inlineStr"/>
    </row>
    <row r="44" ht="54" customHeight="1">
      <c r="A44" s="2" t="inlineStr">
        <is>
          <t>E005</t>
        </is>
      </c>
      <c r="B44" s="2" t="inlineStr">
        <is>
          <t>E005.03</t>
        </is>
      </c>
      <c r="C44" s="2" t="inlineStr">
        <is>
          <t>Caracterizar a responsabilidade de marketing sobre campanha e marca.</t>
        </is>
      </c>
      <c r="D44" s="2" t="inlineStr">
        <is>
          <t>Pesquisa UX e Estratégia</t>
        </is>
      </c>
      <c r="E44" s="4" t="inlineStr">
        <is>
          <t>Pendente</t>
        </is>
      </c>
      <c r="F44" s="4" t="inlineStr"/>
      <c r="G44" s="2">
        <f>IF(AND(E44="Concluída",LEN(TRIM(F44))&gt;0),1,0)</f>
        <v/>
      </c>
      <c r="H44" s="4" t="inlineStr"/>
    </row>
    <row r="45" ht="54" customHeight="1">
      <c r="A45" s="2" t="inlineStr">
        <is>
          <t>E005</t>
        </is>
      </c>
      <c r="B45" s="2" t="inlineStr">
        <is>
          <t>E005.04</t>
        </is>
      </c>
      <c r="C45" s="2" t="inlineStr">
        <is>
          <t>Identificar quem autoriza despesa e quais informações fundamentam sua decisão.</t>
        </is>
      </c>
      <c r="D45" s="2" t="inlineStr">
        <is>
          <t>Pesquisa UX e Estratégia</t>
        </is>
      </c>
      <c r="E45" s="4" t="inlineStr">
        <is>
          <t>Pendente</t>
        </is>
      </c>
      <c r="F45" s="4" t="inlineStr"/>
      <c r="G45" s="2">
        <f>IF(AND(E45="Concluída",LEN(TRIM(F45))&gt;0),1,0)</f>
        <v/>
      </c>
      <c r="H45" s="4" t="inlineStr"/>
    </row>
    <row r="46" ht="54" customHeight="1">
      <c r="A46" s="2" t="inlineStr">
        <is>
          <t>E005</t>
        </is>
      </c>
      <c r="B46" s="2" t="inlineStr">
        <is>
          <t>E005.05</t>
        </is>
      </c>
      <c r="C46" s="2" t="inlineStr">
        <is>
          <t>Descrever como operação e financeiro acompanham recebimento e cobrança.</t>
        </is>
      </c>
      <c r="D46" s="2" t="inlineStr">
        <is>
          <t>Pesquisa UX e Estratégia</t>
        </is>
      </c>
      <c r="E46" s="4" t="inlineStr">
        <is>
          <t>Pendente</t>
        </is>
      </c>
      <c r="F46" s="4" t="inlineStr"/>
      <c r="G46" s="2">
        <f>IF(AND(E46="Concluída",LEN(TRIM(F46))&gt;0),1,0)</f>
        <v/>
      </c>
      <c r="H46" s="4" t="inlineStr"/>
    </row>
    <row r="47" ht="54" customHeight="1">
      <c r="A47" s="2" t="inlineStr">
        <is>
          <t>E005</t>
        </is>
      </c>
      <c r="B47" s="2" t="inlineStr">
        <is>
          <t>E005.06</t>
        </is>
      </c>
      <c r="C47" s="2" t="inlineStr">
        <is>
          <t>Separar papel funcional de cooperativa, unidade e centro de custo.</t>
        </is>
      </c>
      <c r="D47" s="2" t="inlineStr">
        <is>
          <t>Pesquisa UX e Estratégia</t>
        </is>
      </c>
      <c r="E47" s="4" t="inlineStr">
        <is>
          <t>Pendente</t>
        </is>
      </c>
      <c r="F47" s="4" t="inlineStr"/>
      <c r="G47" s="2">
        <f>IF(AND(E47="Concluída",LEN(TRIM(F47))&gt;0),1,0)</f>
        <v/>
      </c>
      <c r="H47" s="4" t="inlineStr"/>
    </row>
    <row r="48" ht="54" customHeight="1">
      <c r="A48" s="2" t="inlineStr">
        <is>
          <t>E005</t>
        </is>
      </c>
      <c r="B48" s="2" t="inlineStr">
        <is>
          <t>E005.07</t>
        </is>
      </c>
      <c r="C48" s="2" t="inlineStr">
        <is>
          <t>Mapear uso ocasional, recorrente, móvel e assistido para cada perfil.</t>
        </is>
      </c>
      <c r="D48" s="2" t="inlineStr">
        <is>
          <t>Pesquisa UX e Estratégia</t>
        </is>
      </c>
      <c r="E48" s="4" t="inlineStr">
        <is>
          <t>Pendente</t>
        </is>
      </c>
      <c r="F48" s="4" t="inlineStr"/>
      <c r="G48" s="2">
        <f>IF(AND(E48="Concluída",LEN(TRIM(F48))&gt;0),1,0)</f>
        <v/>
      </c>
      <c r="H48" s="4" t="inlineStr"/>
    </row>
    <row r="49" ht="54" customHeight="1">
      <c r="A49" s="2" t="inlineStr">
        <is>
          <t>E005</t>
        </is>
      </c>
      <c r="B49" s="2" t="inlineStr">
        <is>
          <t>E005.08</t>
        </is>
      </c>
      <c r="C49" s="2" t="inlineStr">
        <is>
          <t>Registrar limitações de tempo, acessibilidade e conhecimento observadas.</t>
        </is>
      </c>
      <c r="D49" s="2" t="inlineStr">
        <is>
          <t>Pesquisa UX e Estratégia</t>
        </is>
      </c>
      <c r="E49" s="4" t="inlineStr">
        <is>
          <t>Pendente</t>
        </is>
      </c>
      <c r="F49" s="4" t="inlineStr"/>
      <c r="G49" s="2">
        <f>IF(AND(E49="Concluída",LEN(TRIM(F49))&gt;0),1,0)</f>
        <v/>
      </c>
      <c r="H49" s="4" t="inlineStr"/>
    </row>
    <row r="50" ht="54" customHeight="1">
      <c r="A50" s="2" t="inlineStr">
        <is>
          <t>E005</t>
        </is>
      </c>
      <c r="B50" s="2" t="inlineStr">
        <is>
          <t>E005.09</t>
        </is>
      </c>
      <c r="C50" s="2" t="inlineStr">
        <is>
          <t>Priorizar tarefas por frequência, impacto e custo de erro.</t>
        </is>
      </c>
      <c r="D50" s="2" t="inlineStr">
        <is>
          <t>Pesquisa UX e Estratégia</t>
        </is>
      </c>
      <c r="E50" s="4" t="inlineStr">
        <is>
          <t>Pendente</t>
        </is>
      </c>
      <c r="F50" s="4" t="inlineStr"/>
      <c r="G50" s="2">
        <f>IF(AND(E50="Concluída",LEN(TRIM(F50))&gt;0),1,0)</f>
        <v/>
      </c>
      <c r="H50" s="4" t="inlineStr"/>
    </row>
    <row r="51" ht="54" customHeight="1">
      <c r="A51" s="2" t="inlineStr">
        <is>
          <t>E005</t>
        </is>
      </c>
      <c r="B51" s="2" t="inlineStr">
        <is>
          <t>E005.10</t>
        </is>
      </c>
      <c r="C51" s="2" t="inlineStr">
        <is>
          <t>Validar os perfis com evidências e registrar pontos ainda desconhecidos.</t>
        </is>
      </c>
      <c r="D51" s="2" t="inlineStr">
        <is>
          <t>Pesquisa UX e Estratégia</t>
        </is>
      </c>
      <c r="E51" s="4" t="inlineStr">
        <is>
          <t>Pendente</t>
        </is>
      </c>
      <c r="F51" s="4" t="inlineStr"/>
      <c r="G51" s="2">
        <f>IF(AND(E51="Concluída",LEN(TRIM(F51))&gt;0),1,0)</f>
        <v/>
      </c>
      <c r="H51" s="4" t="inlineStr"/>
    </row>
    <row r="52" ht="54" customHeight="1">
      <c r="A52" s="2" t="inlineStr">
        <is>
          <t>E006</t>
        </is>
      </c>
      <c r="B52" s="2" t="inlineStr">
        <is>
          <t>E006.01</t>
        </is>
      </c>
      <c r="C52" s="2" t="inlineStr">
        <is>
          <t>Descrever o gatilho de compra por campanha, reposição ou evento.</t>
        </is>
      </c>
      <c r="D52" s="2" t="inlineStr">
        <is>
          <t>Estratégia de serviço e UX</t>
        </is>
      </c>
      <c r="E52" s="4" t="inlineStr">
        <is>
          <t>Pendente</t>
        </is>
      </c>
      <c r="F52" s="4" t="inlineStr"/>
      <c r="G52" s="2">
        <f>IF(AND(E52="Concluída",LEN(TRIM(F52))&gt;0),1,0)</f>
        <v/>
      </c>
      <c r="H52" s="4" t="inlineStr"/>
    </row>
    <row r="53" ht="54" customHeight="1">
      <c r="A53" s="2" t="inlineStr">
        <is>
          <t>E006</t>
        </is>
      </c>
      <c r="B53" s="2" t="inlineStr">
        <is>
          <t>E006.02</t>
        </is>
      </c>
      <c r="C53" s="2" t="inlineStr">
        <is>
          <t>Mapear como os produtos são descobertos e selecionados atualmente.</t>
        </is>
      </c>
      <c r="D53" s="2" t="inlineStr">
        <is>
          <t>Estratégia de serviço e UX</t>
        </is>
      </c>
      <c r="E53" s="4" t="inlineStr">
        <is>
          <t>Pendente</t>
        </is>
      </c>
      <c r="F53" s="4" t="inlineStr"/>
      <c r="G53" s="2">
        <f>IF(AND(E53="Concluída",LEN(TRIM(F53))&gt;0),1,0)</f>
        <v/>
      </c>
      <c r="H53" s="4" t="inlineStr"/>
    </row>
    <row r="54" ht="54" customHeight="1">
      <c r="A54" s="2" t="inlineStr">
        <is>
          <t>E006</t>
        </is>
      </c>
      <c r="B54" s="2" t="inlineStr">
        <is>
          <t>E006.03</t>
        </is>
      </c>
      <c r="C54" s="2" t="inlineStr">
        <is>
          <t>Registrar a obtenção de preço, personalização e prazo de entrega.</t>
        </is>
      </c>
      <c r="D54" s="2" t="inlineStr">
        <is>
          <t>Estratégia de serviço e UX</t>
        </is>
      </c>
      <c r="E54" s="4" t="inlineStr">
        <is>
          <t>Pendente</t>
        </is>
      </c>
      <c r="F54" s="4" t="inlineStr"/>
      <c r="G54" s="2">
        <f>IF(AND(E54="Concluída",LEN(TRIM(F54))&gt;0),1,0)</f>
        <v/>
      </c>
      <c r="H54" s="4" t="inlineStr"/>
    </row>
    <row r="55" ht="54" customHeight="1">
      <c r="A55" s="2" t="inlineStr">
        <is>
          <t>E006</t>
        </is>
      </c>
      <c r="B55" s="2" t="inlineStr">
        <is>
          <t>E006.04</t>
        </is>
      </c>
      <c r="C55" s="2" t="inlineStr">
        <is>
          <t>Mapear a comparação de propostas e sua justificativa.</t>
        </is>
      </c>
      <c r="D55" s="2" t="inlineStr">
        <is>
          <t>Estratégia de serviço e UX</t>
        </is>
      </c>
      <c r="E55" s="4" t="inlineStr">
        <is>
          <t>Pendente</t>
        </is>
      </c>
      <c r="F55" s="4" t="inlineStr"/>
      <c r="G55" s="2">
        <f>IF(AND(E55="Concluída",LEN(TRIM(F55))&gt;0),1,0)</f>
        <v/>
      </c>
      <c r="H55" s="4" t="inlineStr"/>
    </row>
    <row r="56" ht="54" customHeight="1">
      <c r="A56" s="2" t="inlineStr">
        <is>
          <t>E006</t>
        </is>
      </c>
      <c r="B56" s="2" t="inlineStr">
        <is>
          <t>E006.05</t>
        </is>
      </c>
      <c r="C56" s="2" t="inlineStr">
        <is>
          <t>Separar decisões sobre arte das decisões sobre verba.</t>
        </is>
      </c>
      <c r="D56" s="2" t="inlineStr">
        <is>
          <t>Estratégia de serviço e UX</t>
        </is>
      </c>
      <c r="E56" s="4" t="inlineStr">
        <is>
          <t>Pendente</t>
        </is>
      </c>
      <c r="F56" s="4" t="inlineStr"/>
      <c r="G56" s="2">
        <f>IF(AND(E56="Concluída",LEN(TRIM(F56))&gt;0),1,0)</f>
        <v/>
      </c>
      <c r="H56" s="4" t="inlineStr"/>
    </row>
    <row r="57" ht="54" customHeight="1">
      <c r="A57" s="2" t="inlineStr">
        <is>
          <t>E006</t>
        </is>
      </c>
      <c r="B57" s="2" t="inlineStr">
        <is>
          <t>E006.06</t>
        </is>
      </c>
      <c r="C57" s="2" t="inlineStr">
        <is>
          <t>Identificar transferências entre comprador, fornecedor, produção e transporte.</t>
        </is>
      </c>
      <c r="D57" s="2" t="inlineStr">
        <is>
          <t>Estratégia de serviço e UX</t>
        </is>
      </c>
      <c r="E57" s="4" t="inlineStr">
        <is>
          <t>Pendente</t>
        </is>
      </c>
      <c r="F57" s="4" t="inlineStr"/>
      <c r="G57" s="2">
        <f>IF(AND(E57="Concluída",LEN(TRIM(F57))&gt;0),1,0)</f>
        <v/>
      </c>
      <c r="H57" s="4" t="inlineStr"/>
    </row>
    <row r="58" ht="54" customHeight="1">
      <c r="A58" s="2" t="inlineStr">
        <is>
          <t>E006</t>
        </is>
      </c>
      <c r="B58" s="2" t="inlineStr">
        <is>
          <t>E006.07</t>
        </is>
      </c>
      <c r="C58" s="2" t="inlineStr">
        <is>
          <t>Mapear recebimento parcial, divergência e encerramento financeiro.</t>
        </is>
      </c>
      <c r="D58" s="2" t="inlineStr">
        <is>
          <t>Estratégia de serviço e UX</t>
        </is>
      </c>
      <c r="E58" s="4" t="inlineStr">
        <is>
          <t>Pendente</t>
        </is>
      </c>
      <c r="F58" s="4" t="inlineStr"/>
      <c r="G58" s="2">
        <f>IF(AND(E58="Concluída",LEN(TRIM(F58))&gt;0),1,0)</f>
        <v/>
      </c>
      <c r="H58" s="4" t="inlineStr"/>
    </row>
    <row r="59" ht="54" customHeight="1">
      <c r="A59" s="2" t="inlineStr">
        <is>
          <t>E006</t>
        </is>
      </c>
      <c r="B59" s="2" t="inlineStr">
        <is>
          <t>E006.08</t>
        </is>
      </c>
      <c r="C59" s="2" t="inlineStr">
        <is>
          <t>Medir esperas e retrabalho quando houver dados confiáveis.</t>
        </is>
      </c>
      <c r="D59" s="2" t="inlineStr">
        <is>
          <t>Estratégia de serviço e UX</t>
        </is>
      </c>
      <c r="E59" s="4" t="inlineStr">
        <is>
          <t>Pendente</t>
        </is>
      </c>
      <c r="F59" s="4" t="inlineStr"/>
      <c r="G59" s="2">
        <f>IF(AND(E59="Concluída",LEN(TRIM(F59))&gt;0),1,0)</f>
        <v/>
      </c>
      <c r="H59" s="4" t="inlineStr"/>
    </row>
    <row r="60" ht="54" customHeight="1">
      <c r="A60" s="2" t="inlineStr">
        <is>
          <t>E006</t>
        </is>
      </c>
      <c r="B60" s="2" t="inlineStr">
        <is>
          <t>E006.09</t>
        </is>
      </c>
      <c r="C60" s="2" t="inlineStr">
        <is>
          <t>Desenhar a jornada pretendida com recuperação para falhas relevantes.</t>
        </is>
      </c>
      <c r="D60" s="2" t="inlineStr">
        <is>
          <t>Estratégia de serviço e UX</t>
        </is>
      </c>
      <c r="E60" s="4" t="inlineStr">
        <is>
          <t>Pendente</t>
        </is>
      </c>
      <c r="F60" s="4" t="inlineStr"/>
      <c r="G60" s="2">
        <f>IF(AND(E60="Concluída",LEN(TRIM(F60))&gt;0),1,0)</f>
        <v/>
      </c>
      <c r="H60" s="4" t="inlineStr"/>
    </row>
    <row r="61" ht="54" customHeight="1">
      <c r="A61" s="2" t="inlineStr">
        <is>
          <t>E006</t>
        </is>
      </c>
      <c r="B61" s="2" t="inlineStr">
        <is>
          <t>E006.10</t>
        </is>
      </c>
      <c r="C61" s="2" t="inlineStr">
        <is>
          <t>Validar o mapa com representantes dos papéis que executam cada passagem.</t>
        </is>
      </c>
      <c r="D61" s="2" t="inlineStr">
        <is>
          <t>Estratégia de serviço e UX</t>
        </is>
      </c>
      <c r="E61" s="4" t="inlineStr">
        <is>
          <t>Pendente</t>
        </is>
      </c>
      <c r="F61" s="4" t="inlineStr"/>
      <c r="G61" s="2">
        <f>IF(AND(E61="Concluída",LEN(TRIM(F61))&gt;0),1,0)</f>
        <v/>
      </c>
      <c r="H61" s="4" t="inlineStr"/>
    </row>
    <row r="62" ht="54" customHeight="1">
      <c r="A62" s="2" t="inlineStr">
        <is>
          <t>E007</t>
        </is>
      </c>
      <c r="B62" s="2" t="inlineStr">
        <is>
          <t>E007.01</t>
        </is>
      </c>
      <c r="C62" s="2" t="inlineStr">
        <is>
          <t>Relacionar cada ação do comprador ao processo que a atende.</t>
        </is>
      </c>
      <c r="D62" s="2" t="inlineStr">
        <is>
          <t>Estratégia de serviço e Operação</t>
        </is>
      </c>
      <c r="E62" s="4" t="inlineStr">
        <is>
          <t>Pendente</t>
        </is>
      </c>
      <c r="F62" s="4" t="inlineStr"/>
      <c r="G62" s="2">
        <f>IF(AND(E62="Concluída",LEN(TRIM(F62))&gt;0),1,0)</f>
        <v/>
      </c>
      <c r="H62" s="4" t="inlineStr"/>
    </row>
    <row r="63" ht="54" customHeight="1">
      <c r="A63" s="2" t="inlineStr">
        <is>
          <t>E007</t>
        </is>
      </c>
      <c r="B63" s="2" t="inlineStr">
        <is>
          <t>E007.02</t>
        </is>
      </c>
      <c r="C63" s="2" t="inlineStr">
        <is>
          <t>Identificar tarefas manuais que continuarão necessárias no piloto.</t>
        </is>
      </c>
      <c r="D63" s="2" t="inlineStr">
        <is>
          <t>Estratégia de serviço e Operação</t>
        </is>
      </c>
      <c r="E63" s="4" t="inlineStr">
        <is>
          <t>Pendente</t>
        </is>
      </c>
      <c r="F63" s="4" t="inlineStr"/>
      <c r="G63" s="2">
        <f>IF(AND(E63="Concluída",LEN(TRIM(F63))&gt;0),1,0)</f>
        <v/>
      </c>
      <c r="H63" s="4" t="inlineStr"/>
    </row>
    <row r="64" ht="54" customHeight="1">
      <c r="A64" s="2" t="inlineStr">
        <is>
          <t>E007</t>
        </is>
      </c>
      <c r="B64" s="2" t="inlineStr">
        <is>
          <t>E007.03</t>
        </is>
      </c>
      <c r="C64" s="2" t="inlineStr">
        <is>
          <t>Definir quem confirma personalização, disponibilidade e prazo contratado.</t>
        </is>
      </c>
      <c r="D64" s="2" t="inlineStr">
        <is>
          <t>Estratégia de serviço e Operação</t>
        </is>
      </c>
      <c r="E64" s="4" t="inlineStr">
        <is>
          <t>Pendente</t>
        </is>
      </c>
      <c r="F64" s="4" t="inlineStr"/>
      <c r="G64" s="2">
        <f>IF(AND(E64="Concluída",LEN(TRIM(F64))&gt;0),1,0)</f>
        <v/>
      </c>
      <c r="H64" s="4" t="inlineStr"/>
    </row>
    <row r="65" ht="54" customHeight="1">
      <c r="A65" s="2" t="inlineStr">
        <is>
          <t>E007</t>
        </is>
      </c>
      <c r="B65" s="2" t="inlineStr">
        <is>
          <t>E007.04</t>
        </is>
      </c>
      <c r="C65" s="2" t="inlineStr">
        <is>
          <t>Descrever a passagem de proposta aprovada para produção.</t>
        </is>
      </c>
      <c r="D65" s="2" t="inlineStr">
        <is>
          <t>Estratégia de serviço e Operação</t>
        </is>
      </c>
      <c r="E65" s="4" t="inlineStr">
        <is>
          <t>Pendente</t>
        </is>
      </c>
      <c r="F65" s="4" t="inlineStr"/>
      <c r="G65" s="2">
        <f>IF(AND(E65="Concluída",LEN(TRIM(F65))&gt;0),1,0)</f>
        <v/>
      </c>
      <c r="H65" s="4" t="inlineStr"/>
    </row>
    <row r="66" ht="54" customHeight="1">
      <c r="A66" s="2" t="inlineStr">
        <is>
          <t>E007</t>
        </is>
      </c>
      <c r="B66" s="2" t="inlineStr">
        <is>
          <t>E007.05</t>
        </is>
      </c>
      <c r="C66" s="2" t="inlineStr">
        <is>
          <t>Definir quem informa rastreio e quem corrige informação incorreta.</t>
        </is>
      </c>
      <c r="D66" s="2" t="inlineStr">
        <is>
          <t>Estratégia de serviço e Operação</t>
        </is>
      </c>
      <c r="E66" s="4" t="inlineStr">
        <is>
          <t>Pendente</t>
        </is>
      </c>
      <c r="F66" s="4" t="inlineStr"/>
      <c r="G66" s="2">
        <f>IF(AND(E66="Concluída",LEN(TRIM(F66))&gt;0),1,0)</f>
        <v/>
      </c>
      <c r="H66" s="4" t="inlineStr"/>
    </row>
    <row r="67" ht="54" customHeight="1">
      <c r="A67" s="2" t="inlineStr">
        <is>
          <t>E007</t>
        </is>
      </c>
      <c r="B67" s="2" t="inlineStr">
        <is>
          <t>E007.06</t>
        </is>
      </c>
      <c r="C67" s="2" t="inlineStr">
        <is>
          <t>Mapear o atendimento de avaria, falta, troca e atraso.</t>
        </is>
      </c>
      <c r="D67" s="2" t="inlineStr">
        <is>
          <t>Estratégia de serviço e Operação</t>
        </is>
      </c>
      <c r="E67" s="4" t="inlineStr">
        <is>
          <t>Pendente</t>
        </is>
      </c>
      <c r="F67" s="4" t="inlineStr"/>
      <c r="G67" s="2">
        <f>IF(AND(E67="Concluída",LEN(TRIM(F67))&gt;0),1,0)</f>
        <v/>
      </c>
      <c r="H67" s="4" t="inlineStr"/>
    </row>
    <row r="68" ht="54" customHeight="1">
      <c r="A68" s="2" t="inlineStr">
        <is>
          <t>E007</t>
        </is>
      </c>
      <c r="B68" s="2" t="inlineStr">
        <is>
          <t>E007.07</t>
        </is>
      </c>
      <c r="C68" s="2" t="inlineStr">
        <is>
          <t>Determinar fontes de dados para cada estado mostrado na interface.</t>
        </is>
      </c>
      <c r="D68" s="2" t="inlineStr">
        <is>
          <t>Estratégia de serviço e Operação</t>
        </is>
      </c>
      <c r="E68" s="4" t="inlineStr">
        <is>
          <t>Pendente</t>
        </is>
      </c>
      <c r="F68" s="4" t="inlineStr"/>
      <c r="G68" s="2">
        <f>IF(AND(E68="Concluída",LEN(TRIM(F68))&gt;0),1,0)</f>
        <v/>
      </c>
      <c r="H68" s="4" t="inlineStr"/>
    </row>
    <row r="69" ht="54" customHeight="1">
      <c r="A69" s="2" t="inlineStr">
        <is>
          <t>E007</t>
        </is>
      </c>
      <c r="B69" s="2" t="inlineStr">
        <is>
          <t>E007.08</t>
        </is>
      </c>
      <c r="C69" s="2" t="inlineStr">
        <is>
          <t>Estabelecer responsáveis e escalonamento para pendências sem resposta.</t>
        </is>
      </c>
      <c r="D69" s="2" t="inlineStr">
        <is>
          <t>Estratégia de serviço e Operação</t>
        </is>
      </c>
      <c r="E69" s="4" t="inlineStr">
        <is>
          <t>Pendente</t>
        </is>
      </c>
      <c r="F69" s="4" t="inlineStr"/>
      <c r="G69" s="2">
        <f>IF(AND(E69="Concluída",LEN(TRIM(F69))&gt;0),1,0)</f>
        <v/>
      </c>
      <c r="H69" s="4" t="inlineStr"/>
    </row>
    <row r="70" ht="54" customHeight="1">
      <c r="A70" s="2" t="inlineStr">
        <is>
          <t>E007</t>
        </is>
      </c>
      <c r="B70" s="2" t="inlineStr">
        <is>
          <t>E007.09</t>
        </is>
      </c>
      <c r="C70" s="2" t="inlineStr">
        <is>
          <t>Registrar dependências externas que podem limitar a promessa comercial.</t>
        </is>
      </c>
      <c r="D70" s="2" t="inlineStr">
        <is>
          <t>Estratégia de serviço e Operação</t>
        </is>
      </c>
      <c r="E70" s="4" t="inlineStr">
        <is>
          <t>Pendente</t>
        </is>
      </c>
      <c r="F70" s="4" t="inlineStr"/>
      <c r="G70" s="2">
        <f>IF(AND(E70="Concluída",LEN(TRIM(F70))&gt;0),1,0)</f>
        <v/>
      </c>
      <c r="H70" s="4" t="inlineStr"/>
    </row>
    <row r="71" ht="54" customHeight="1">
      <c r="A71" s="2" t="inlineStr">
        <is>
          <t>E007</t>
        </is>
      </c>
      <c r="B71" s="2" t="inlineStr">
        <is>
          <t>E007.10</t>
        </is>
      </c>
      <c r="C71" s="2" t="inlineStr">
        <is>
          <t>Simular um pedido completo e revisar as passagens sem responsável definido.</t>
        </is>
      </c>
      <c r="D71" s="2" t="inlineStr">
        <is>
          <t>Estratégia de serviço e Operação</t>
        </is>
      </c>
      <c r="E71" s="4" t="inlineStr">
        <is>
          <t>Pendente</t>
        </is>
      </c>
      <c r="F71" s="4" t="inlineStr"/>
      <c r="G71" s="2">
        <f>IF(AND(E71="Concluída",LEN(TRIM(F71))&gt;0),1,0)</f>
        <v/>
      </c>
      <c r="H71" s="4" t="inlineStr"/>
    </row>
    <row r="72" ht="54" customHeight="1">
      <c r="A72" s="2" t="inlineStr">
        <is>
          <t>E008</t>
        </is>
      </c>
      <c r="B72" s="2" t="inlineStr">
        <is>
          <t>E008.01</t>
        </is>
      </c>
      <c r="C72" s="2" t="inlineStr">
        <is>
          <t>Obter a política vigente de cada cooperativa candidata ao piloto.</t>
        </is>
      </c>
      <c r="D72" s="2" t="inlineStr">
        <is>
          <t>Produto e responsáveis de compras</t>
        </is>
      </c>
      <c r="E72" s="4" t="inlineStr">
        <is>
          <t>Pendente</t>
        </is>
      </c>
      <c r="F72" s="4" t="inlineStr"/>
      <c r="G72" s="2">
        <f>IF(AND(E72="Concluída",LEN(TRIM(F72))&gt;0),1,0)</f>
        <v/>
      </c>
      <c r="H72" s="4" t="inlineStr"/>
    </row>
    <row r="73" ht="54" customHeight="1">
      <c r="A73" s="2" t="inlineStr">
        <is>
          <t>E008</t>
        </is>
      </c>
      <c r="B73" s="2" t="inlineStr">
        <is>
          <t>E008.02</t>
        </is>
      </c>
      <c r="C73" s="2" t="inlineStr">
        <is>
          <t>Registrar a entidade emissora e a validade de cada documento.</t>
        </is>
      </c>
      <c r="D73" s="2" t="inlineStr">
        <is>
          <t>Produto e responsáveis de compras</t>
        </is>
      </c>
      <c r="E73" s="4" t="inlineStr">
        <is>
          <t>Pendente</t>
        </is>
      </c>
      <c r="F73" s="4" t="inlineStr"/>
      <c r="G73" s="2">
        <f>IF(AND(E73="Concluída",LEN(TRIM(F73))&gt;0),1,0)</f>
        <v/>
      </c>
      <c r="H73" s="4" t="inlineStr"/>
    </row>
    <row r="74" ht="54" customHeight="1">
      <c r="A74" s="2" t="inlineStr">
        <is>
          <t>E008</t>
        </is>
      </c>
      <c r="B74" s="2" t="inlineStr">
        <is>
          <t>E008.03</t>
        </is>
      </c>
      <c r="C74" s="2" t="inlineStr">
        <is>
          <t>Mapear categorias que exigem participação de compras ou marketing.</t>
        </is>
      </c>
      <c r="D74" s="2" t="inlineStr">
        <is>
          <t>Produto e responsáveis de compras</t>
        </is>
      </c>
      <c r="E74" s="4" t="inlineStr">
        <is>
          <t>Pendente</t>
        </is>
      </c>
      <c r="F74" s="4" t="inlineStr"/>
      <c r="G74" s="2">
        <f>IF(AND(E74="Concluída",LEN(TRIM(F74))&gt;0),1,0)</f>
        <v/>
      </c>
      <c r="H74" s="4" t="inlineStr"/>
    </row>
    <row r="75" ht="54" customHeight="1">
      <c r="A75" s="2" t="inlineStr">
        <is>
          <t>E008</t>
        </is>
      </c>
      <c r="B75" s="2" t="inlineStr">
        <is>
          <t>E008.04</t>
        </is>
      </c>
      <c r="C75" s="2" t="inlineStr">
        <is>
          <t>Identificar exigência de cotações e suas exceções justificáveis.</t>
        </is>
      </c>
      <c r="D75" s="2" t="inlineStr">
        <is>
          <t>Produto e responsáveis de compras</t>
        </is>
      </c>
      <c r="E75" s="4" t="inlineStr">
        <is>
          <t>Pendente</t>
        </is>
      </c>
      <c r="F75" s="4" t="inlineStr"/>
      <c r="G75" s="2">
        <f>IF(AND(E75="Concluída",LEN(TRIM(F75))&gt;0),1,0)</f>
        <v/>
      </c>
      <c r="H75" s="4" t="inlineStr"/>
    </row>
    <row r="76" ht="54" customHeight="1">
      <c r="A76" s="2" t="inlineStr">
        <is>
          <t>E008</t>
        </is>
      </c>
      <c r="B76" s="2" t="inlineStr">
        <is>
          <t>E008.05</t>
        </is>
      </c>
      <c r="C76" s="2" t="inlineStr">
        <is>
          <t>Definir alçadas, impedimentos e tratamento de autoaprovação.</t>
        </is>
      </c>
      <c r="D76" s="2" t="inlineStr">
        <is>
          <t>Produto e responsáveis de compras</t>
        </is>
      </c>
      <c r="E76" s="4" t="inlineStr">
        <is>
          <t>Pendente</t>
        </is>
      </c>
      <c r="F76" s="4" t="inlineStr"/>
      <c r="G76" s="2">
        <f>IF(AND(E76="Concluída",LEN(TRIM(F76))&gt;0),1,0)</f>
        <v/>
      </c>
      <c r="H76" s="4" t="inlineStr"/>
    </row>
    <row r="77" ht="54" customHeight="1">
      <c r="A77" s="2" t="inlineStr">
        <is>
          <t>E008</t>
        </is>
      </c>
      <c r="B77" s="2" t="inlineStr">
        <is>
          <t>E008.06</t>
        </is>
      </c>
      <c r="C77" s="2" t="inlineStr">
        <is>
          <t>Mapear calendário, janelas de compra e condições especiais por unidade.</t>
        </is>
      </c>
      <c r="D77" s="2" t="inlineStr">
        <is>
          <t>Produto e responsáveis de compras</t>
        </is>
      </c>
      <c r="E77" s="4" t="inlineStr">
        <is>
          <t>Pendente</t>
        </is>
      </c>
      <c r="F77" s="4" t="inlineStr"/>
      <c r="G77" s="2">
        <f>IF(AND(E77="Concluída",LEN(TRIM(F77))&gt;0),1,0)</f>
        <v/>
      </c>
      <c r="H77" s="4" t="inlineStr"/>
    </row>
    <row r="78" ht="54" customHeight="1">
      <c r="A78" s="2" t="inlineStr">
        <is>
          <t>E008</t>
        </is>
      </c>
      <c r="B78" s="2" t="inlineStr">
        <is>
          <t>E008.07</t>
        </is>
      </c>
      <c r="C78" s="2" t="inlineStr">
        <is>
          <t>Registrar critérios aplicáveis a fornecedores e documentação comercial.</t>
        </is>
      </c>
      <c r="D78" s="2" t="inlineStr">
        <is>
          <t>Produto e responsáveis de compras</t>
        </is>
      </c>
      <c r="E78" s="4" t="inlineStr">
        <is>
          <t>Pendente</t>
        </is>
      </c>
      <c r="F78" s="4" t="inlineStr"/>
      <c r="G78" s="2">
        <f>IF(AND(E78="Concluída",LEN(TRIM(F78))&gt;0),1,0)</f>
        <v/>
      </c>
      <c r="H78" s="4" t="inlineStr"/>
    </row>
    <row r="79" ht="54" customHeight="1">
      <c r="A79" s="2" t="inlineStr">
        <is>
          <t>E008</t>
        </is>
      </c>
      <c r="B79" s="2" t="inlineStr">
        <is>
          <t>E008.08</t>
        </is>
      </c>
      <c r="C79" s="2" t="inlineStr">
        <is>
          <t>Definir como mudanças de política afetam solicitações em andamento.</t>
        </is>
      </c>
      <c r="D79" s="2" t="inlineStr">
        <is>
          <t>Produto e responsáveis de compras</t>
        </is>
      </c>
      <c r="E79" s="4" t="inlineStr">
        <is>
          <t>Pendente</t>
        </is>
      </c>
      <c r="F79" s="4" t="inlineStr"/>
      <c r="G79" s="2">
        <f>IF(AND(E79="Concluída",LEN(TRIM(F79))&gt;0),1,0)</f>
        <v/>
      </c>
      <c r="H79" s="4" t="inlineStr"/>
    </row>
    <row r="80" ht="54" customHeight="1">
      <c r="A80" s="2" t="inlineStr">
        <is>
          <t>E008</t>
        </is>
      </c>
      <c r="B80" s="2" t="inlineStr">
        <is>
          <t>E008.09</t>
        </is>
      </c>
      <c r="C80" s="2" t="inlineStr">
        <is>
          <t>Preservar a versão da política usada em cada decisão de compra.</t>
        </is>
      </c>
      <c r="D80" s="2" t="inlineStr">
        <is>
          <t>Produto e responsáveis de compras</t>
        </is>
      </c>
      <c r="E80" s="4" t="inlineStr">
        <is>
          <t>Pendente</t>
        </is>
      </c>
      <c r="F80" s="4" t="inlineStr"/>
      <c r="G80" s="2">
        <f>IF(AND(E80="Concluída",LEN(TRIM(F80))&gt;0),1,0)</f>
        <v/>
      </c>
      <c r="H80" s="4" t="inlineStr"/>
    </row>
    <row r="81" ht="54" customHeight="1">
      <c r="A81" s="2" t="inlineStr">
        <is>
          <t>E008</t>
        </is>
      </c>
      <c r="B81" s="2" t="inlineStr">
        <is>
          <t>E008.10</t>
        </is>
      </c>
      <c r="C81" s="2" t="inlineStr">
        <is>
          <t>Validar a matriz com responsáveis locais, sem copiar regras históricas automaticamente.</t>
        </is>
      </c>
      <c r="D81" s="2" t="inlineStr">
        <is>
          <t>Produto e responsáveis de compras</t>
        </is>
      </c>
      <c r="E81" s="4" t="inlineStr">
        <is>
          <t>Pendente</t>
        </is>
      </c>
      <c r="F81" s="4" t="inlineStr"/>
      <c r="G81" s="2">
        <f>IF(AND(E81="Concluída",LEN(TRIM(F81))&gt;0),1,0)</f>
        <v/>
      </c>
      <c r="H81" s="4" t="inlineStr"/>
    </row>
    <row r="82" ht="54" customHeight="1">
      <c r="A82" s="2" t="inlineStr">
        <is>
          <t>E009</t>
        </is>
      </c>
      <c r="B82" s="2" t="inlineStr">
        <is>
          <t>E009.01</t>
        </is>
      </c>
      <c r="C82" s="2" t="inlineStr">
        <is>
          <t>Definir sucesso da solicitação como envio completo e válido.</t>
        </is>
      </c>
      <c r="D82" s="2" t="inlineStr">
        <is>
          <t>Produto e Dados</t>
        </is>
      </c>
      <c r="E82" s="4" t="inlineStr">
        <is>
          <t>Pendente</t>
        </is>
      </c>
      <c r="F82" s="4" t="inlineStr"/>
      <c r="G82" s="2">
        <f>IF(AND(E82="Concluída",LEN(TRIM(F82))&gt;0),1,0)</f>
        <v/>
      </c>
      <c r="H82" s="4" t="inlineStr"/>
    </row>
    <row r="83" ht="54" customHeight="1">
      <c r="A83" s="2" t="inlineStr">
        <is>
          <t>E009</t>
        </is>
      </c>
      <c r="B83" s="2" t="inlineStr">
        <is>
          <t>E009.02</t>
        </is>
      </c>
      <c r="C83" s="2" t="inlineStr">
        <is>
          <t>Separar tempo de aprovação da arte do tempo de aprovação financeira.</t>
        </is>
      </c>
      <c r="D83" s="2" t="inlineStr">
        <is>
          <t>Produto e Dados</t>
        </is>
      </c>
      <c r="E83" s="4" t="inlineStr">
        <is>
          <t>Pendente</t>
        </is>
      </c>
      <c r="F83" s="4" t="inlineStr"/>
      <c r="G83" s="2">
        <f>IF(AND(E83="Concluída",LEN(TRIM(F83))&gt;0),1,0)</f>
        <v/>
      </c>
      <c r="H83" s="4" t="inlineStr"/>
    </row>
    <row r="84" ht="54" customHeight="1">
      <c r="A84" s="2" t="inlineStr">
        <is>
          <t>E009</t>
        </is>
      </c>
      <c r="B84" s="2" t="inlineStr">
        <is>
          <t>E009.03</t>
        </is>
      </c>
      <c r="C84" s="2" t="inlineStr">
        <is>
          <t>Definir categorias observáveis de retrabalho e devolução.</t>
        </is>
      </c>
      <c r="D84" s="2" t="inlineStr">
        <is>
          <t>Produto e Dados</t>
        </is>
      </c>
      <c r="E84" s="4" t="inlineStr">
        <is>
          <t>Pendente</t>
        </is>
      </c>
      <c r="F84" s="4" t="inlineStr"/>
      <c r="G84" s="2">
        <f>IF(AND(E84="Concluída",LEN(TRIM(F84))&gt;0),1,0)</f>
        <v/>
      </c>
      <c r="H84" s="4" t="inlineStr"/>
    </row>
    <row r="85" ht="54" customHeight="1">
      <c r="A85" s="2" t="inlineStr">
        <is>
          <t>E009</t>
        </is>
      </c>
      <c r="B85" s="2" t="inlineStr">
        <is>
          <t>E009.04</t>
        </is>
      </c>
      <c r="C85" s="2" t="inlineStr">
        <is>
          <t>Distinguir prazo desejado, contratado e data efetiva de entrega.</t>
        </is>
      </c>
      <c r="D85" s="2" t="inlineStr">
        <is>
          <t>Produto e Dados</t>
        </is>
      </c>
      <c r="E85" s="4" t="inlineStr">
        <is>
          <t>Pendente</t>
        </is>
      </c>
      <c r="F85" s="4" t="inlineStr"/>
      <c r="G85" s="2">
        <f>IF(AND(E85="Concluída",LEN(TRIM(F85))&gt;0),1,0)</f>
        <v/>
      </c>
      <c r="H85" s="4" t="inlineStr"/>
    </row>
    <row r="86" ht="54" customHeight="1">
      <c r="A86" s="2" t="inlineStr">
        <is>
          <t>E009</t>
        </is>
      </c>
      <c r="B86" s="2" t="inlineStr">
        <is>
          <t>E009.05</t>
        </is>
      </c>
      <c r="C86" s="2" t="inlineStr">
        <is>
          <t>Definir medição de divergências por pedido e por destino.</t>
        </is>
      </c>
      <c r="D86" s="2" t="inlineStr">
        <is>
          <t>Produto e Dados</t>
        </is>
      </c>
      <c r="E86" s="4" t="inlineStr">
        <is>
          <t>Pendente</t>
        </is>
      </c>
      <c r="F86" s="4" t="inlineStr"/>
      <c r="G86" s="2">
        <f>IF(AND(E86="Concluída",LEN(TRIM(F86))&gt;0),1,0)</f>
        <v/>
      </c>
      <c r="H86" s="4" t="inlineStr"/>
    </row>
    <row r="87" ht="54" customHeight="1">
      <c r="A87" s="2" t="inlineStr">
        <is>
          <t>E009</t>
        </is>
      </c>
      <c r="B87" s="2" t="inlineStr">
        <is>
          <t>E009.06</t>
        </is>
      </c>
      <c r="C87" s="2" t="inlineStr">
        <is>
          <t>Especificar eventos de busca sem resultado e abandono recuperável.</t>
        </is>
      </c>
      <c r="D87" s="2" t="inlineStr">
        <is>
          <t>Produto e Dados</t>
        </is>
      </c>
      <c r="E87" s="4" t="inlineStr">
        <is>
          <t>Pendente</t>
        </is>
      </c>
      <c r="F87" s="4" t="inlineStr"/>
      <c r="G87" s="2">
        <f>IF(AND(E87="Concluída",LEN(TRIM(F87))&gt;0),1,0)</f>
        <v/>
      </c>
      <c r="H87" s="4" t="inlineStr"/>
    </row>
    <row r="88" ht="54" customHeight="1">
      <c r="A88" s="2" t="inlineStr">
        <is>
          <t>E009</t>
        </is>
      </c>
      <c r="B88" s="2" t="inlineStr">
        <is>
          <t>E009.07</t>
        </is>
      </c>
      <c r="C88" s="2" t="inlineStr">
        <is>
          <t>Registrar o denominador e a janela temporal de cada indicador.</t>
        </is>
      </c>
      <c r="D88" s="2" t="inlineStr">
        <is>
          <t>Produto e Dados</t>
        </is>
      </c>
      <c r="E88" s="4" t="inlineStr">
        <is>
          <t>Pendente</t>
        </is>
      </c>
      <c r="F88" s="4" t="inlineStr"/>
      <c r="G88" s="2">
        <f>IF(AND(E88="Concluída",LEN(TRIM(F88))&gt;0),1,0)</f>
        <v/>
      </c>
      <c r="H88" s="4" t="inlineStr"/>
    </row>
    <row r="89" ht="54" customHeight="1">
      <c r="A89" s="2" t="inlineStr">
        <is>
          <t>E009</t>
        </is>
      </c>
      <c r="B89" s="2" t="inlineStr">
        <is>
          <t>E009.08</t>
        </is>
      </c>
      <c r="C89" s="2" t="inlineStr">
        <is>
          <t>Identificar quais dados podem ser obtidos antes do primeiro piloto.</t>
        </is>
      </c>
      <c r="D89" s="2" t="inlineStr">
        <is>
          <t>Produto e Dados</t>
        </is>
      </c>
      <c r="E89" s="4" t="inlineStr">
        <is>
          <t>Pendente</t>
        </is>
      </c>
      <c r="F89" s="4" t="inlineStr"/>
      <c r="G89" s="2">
        <f>IF(AND(E89="Concluída",LEN(TRIM(F89))&gt;0),1,0)</f>
        <v/>
      </c>
      <c r="H89" s="4" t="inlineStr"/>
    </row>
    <row r="90" ht="54" customHeight="1">
      <c r="A90" s="2" t="inlineStr">
        <is>
          <t>E009</t>
        </is>
      </c>
      <c r="B90" s="2" t="inlineStr">
        <is>
          <t>E009.09</t>
        </is>
      </c>
      <c r="C90" s="2" t="inlineStr">
        <is>
          <t>Propor metas iniciais como hipóteses, com responsável por revisá-las.</t>
        </is>
      </c>
      <c r="D90" s="2" t="inlineStr">
        <is>
          <t>Produto e Dados</t>
        </is>
      </c>
      <c r="E90" s="4" t="inlineStr">
        <is>
          <t>Pendente</t>
        </is>
      </c>
      <c r="F90" s="4" t="inlineStr"/>
      <c r="G90" s="2">
        <f>IF(AND(E90="Concluída",LEN(TRIM(F90))&gt;0),1,0)</f>
        <v/>
      </c>
      <c r="H90" s="4" t="inlineStr"/>
    </row>
    <row r="91" ht="54" customHeight="1">
      <c r="A91" s="2" t="inlineStr">
        <is>
          <t>E009</t>
        </is>
      </c>
      <c r="B91" s="2" t="inlineStr">
        <is>
          <t>E009.10</t>
        </is>
      </c>
      <c r="C91" s="2" t="inlineStr">
        <is>
          <t>Aprovar o dicionário e impedir percentuais calculados com dados fictícios.</t>
        </is>
      </c>
      <c r="D91" s="2" t="inlineStr">
        <is>
          <t>Produto e Dados</t>
        </is>
      </c>
      <c r="E91" s="4" t="inlineStr">
        <is>
          <t>Pendente</t>
        </is>
      </c>
      <c r="F91" s="4" t="inlineStr"/>
      <c r="G91" s="2">
        <f>IF(AND(E91="Concluída",LEN(TRIM(F91))&gt;0),1,0)</f>
        <v/>
      </c>
      <c r="H91" s="4" t="inlineStr"/>
    </row>
    <row r="92" ht="54" customHeight="1">
      <c r="A92" s="2" t="inlineStr">
        <is>
          <t>E010</t>
        </is>
      </c>
      <c r="B92" s="2" t="inlineStr">
        <is>
          <t>E010.01</t>
        </is>
      </c>
      <c r="C92" s="2" t="inlineStr">
        <is>
          <t>Relacionar funcionalidades existentes às tarefas prioritárias do comprador.</t>
        </is>
      </c>
      <c r="D92" s="2" t="inlineStr">
        <is>
          <t>Produto, UX e Liderança técnica</t>
        </is>
      </c>
      <c r="E92" s="4" t="inlineStr">
        <is>
          <t>Pendente</t>
        </is>
      </c>
      <c r="F92" s="4" t="inlineStr"/>
      <c r="G92" s="2">
        <f>IF(AND(E92="Concluída",LEN(TRIM(F92))&gt;0),1,0)</f>
        <v/>
      </c>
      <c r="H92" s="4" t="inlineStr"/>
    </row>
    <row r="93" ht="54" customHeight="1">
      <c r="A93" s="2" t="inlineStr">
        <is>
          <t>E010</t>
        </is>
      </c>
      <c r="B93" s="2" t="inlineStr">
        <is>
          <t>E010.02</t>
        </is>
      </c>
      <c r="C93" s="2" t="inlineStr">
        <is>
          <t>Identificar componentes que podem ser aproveitados com alteração pequena.</t>
        </is>
      </c>
      <c r="D93" s="2" t="inlineStr">
        <is>
          <t>Produto, UX e Liderança técnica</t>
        </is>
      </c>
      <c r="E93" s="4" t="inlineStr">
        <is>
          <t>Pendente</t>
        </is>
      </c>
      <c r="F93" s="4" t="inlineStr"/>
      <c r="G93" s="2">
        <f>IF(AND(E93="Concluída",LEN(TRIM(F93))&gt;0),1,0)</f>
        <v/>
      </c>
      <c r="H93" s="4" t="inlineStr"/>
    </row>
    <row r="94" ht="54" customHeight="1">
      <c r="A94" s="2" t="inlineStr">
        <is>
          <t>E010</t>
        </is>
      </c>
      <c r="B94" s="2" t="inlineStr">
        <is>
          <t>E010.03</t>
        </is>
      </c>
      <c r="C94" s="2" t="inlineStr">
        <is>
          <t>Separar bloqueadores de segurança de melhorias de conveniência.</t>
        </is>
      </c>
      <c r="D94" s="2" t="inlineStr">
        <is>
          <t>Produto, UX e Liderança técnica</t>
        </is>
      </c>
      <c r="E94" s="4" t="inlineStr">
        <is>
          <t>Pendente</t>
        </is>
      </c>
      <c r="F94" s="4" t="inlineStr"/>
      <c r="G94" s="2">
        <f>IF(AND(E94="Concluída",LEN(TRIM(F94))&gt;0),1,0)</f>
        <v/>
      </c>
      <c r="H94" s="4" t="inlineStr"/>
    </row>
    <row r="95" ht="54" customHeight="1">
      <c r="A95" s="2" t="inlineStr">
        <is>
          <t>E010</t>
        </is>
      </c>
      <c r="B95" s="2" t="inlineStr">
        <is>
          <t>E010.04</t>
        </is>
      </c>
      <c r="C95" s="2" t="inlineStr">
        <is>
          <t>Definir a primeira compra completa que o piloto precisa suportar.</t>
        </is>
      </c>
      <c r="D95" s="2" t="inlineStr">
        <is>
          <t>Produto, UX e Liderança técnica</t>
        </is>
      </c>
      <c r="E95" s="4" t="inlineStr">
        <is>
          <t>Pendente</t>
        </is>
      </c>
      <c r="F95" s="4" t="inlineStr"/>
      <c r="G95" s="2">
        <f>IF(AND(E95="Concluída",LEN(TRIM(F95))&gt;0),1,0)</f>
        <v/>
      </c>
      <c r="H95" s="4" t="inlineStr"/>
    </row>
    <row r="96" ht="54" customHeight="1">
      <c r="A96" s="2" t="inlineStr">
        <is>
          <t>E010</t>
        </is>
      </c>
      <c r="B96" s="2" t="inlineStr">
        <is>
          <t>E010.05</t>
        </is>
      </c>
      <c r="C96" s="2" t="inlineStr">
        <is>
          <t>Escolher categorias, técnicas e destinos inicialmente atendidos pela operação.</t>
        </is>
      </c>
      <c r="D96" s="2" t="inlineStr">
        <is>
          <t>Produto, UX e Liderança técnica</t>
        </is>
      </c>
      <c r="E96" s="4" t="inlineStr">
        <is>
          <t>Pendente</t>
        </is>
      </c>
      <c r="F96" s="4" t="inlineStr"/>
      <c r="G96" s="2">
        <f>IF(AND(E96="Concluída",LEN(TRIM(F96))&gt;0),1,0)</f>
        <v/>
      </c>
      <c r="H96" s="4" t="inlineStr"/>
    </row>
    <row r="97" ht="54" customHeight="1">
      <c r="A97" s="2" t="inlineStr">
        <is>
          <t>E010</t>
        </is>
      </c>
      <c r="B97" s="2" t="inlineStr">
        <is>
          <t>E010.06</t>
        </is>
      </c>
      <c r="C97" s="2" t="inlineStr">
        <is>
          <t>Adiar CRM legado, gamificação e previsões sem dados comprovados.</t>
        </is>
      </c>
      <c r="D97" s="2" t="inlineStr">
        <is>
          <t>Produto, UX e Liderança técnica</t>
        </is>
      </c>
      <c r="E97" s="4" t="inlineStr">
        <is>
          <t>Pendente</t>
        </is>
      </c>
      <c r="F97" s="4" t="inlineStr"/>
      <c r="G97" s="2">
        <f>IF(AND(E97="Concluída",LEN(TRIM(F97))&gt;0),1,0)</f>
        <v/>
      </c>
      <c r="H97" s="4" t="inlineStr"/>
    </row>
    <row r="98" ht="54" customHeight="1">
      <c r="A98" s="2" t="inlineStr">
        <is>
          <t>E010</t>
        </is>
      </c>
      <c r="B98" s="2" t="inlineStr">
        <is>
          <t>E010.07</t>
        </is>
      </c>
      <c r="C98" s="2" t="inlineStr">
        <is>
          <t>Estimar esforço por responsável após examinar os contratos de integração.</t>
        </is>
      </c>
      <c r="D98" s="2" t="inlineStr">
        <is>
          <t>Produto, UX e Liderança técnica</t>
        </is>
      </c>
      <c r="E98" s="4" t="inlineStr">
        <is>
          <t>Pendente</t>
        </is>
      </c>
      <c r="F98" s="4" t="inlineStr"/>
      <c r="G98" s="2">
        <f>IF(AND(E98="Concluída",LEN(TRIM(F98))&gt;0),1,0)</f>
        <v/>
      </c>
      <c r="H98" s="4" t="inlineStr"/>
    </row>
    <row r="99" ht="54" customHeight="1">
      <c r="A99" s="2" t="inlineStr">
        <is>
          <t>E010</t>
        </is>
      </c>
      <c r="B99" s="2" t="inlineStr">
        <is>
          <t>E010.08</t>
        </is>
      </c>
      <c r="C99" s="2" t="inlineStr">
        <is>
          <t>Montar sequência por dependências, permitindo frentes independentes em paralelo.</t>
        </is>
      </c>
      <c r="D99" s="2" t="inlineStr">
        <is>
          <t>Produto, UX e Liderança técnica</t>
        </is>
      </c>
      <c r="E99" s="4" t="inlineStr">
        <is>
          <t>Pendente</t>
        </is>
      </c>
      <c r="F99" s="4" t="inlineStr"/>
      <c r="G99" s="2">
        <f>IF(AND(E99="Concluída",LEN(TRIM(F99))&gt;0),1,0)</f>
        <v/>
      </c>
      <c r="H99" s="4" t="inlineStr"/>
    </row>
    <row r="100" ht="54" customHeight="1">
      <c r="A100" s="2" t="inlineStr">
        <is>
          <t>E010</t>
        </is>
      </c>
      <c r="B100" s="2" t="inlineStr">
        <is>
          <t>E010.09</t>
        </is>
      </c>
      <c r="C100" s="2" t="inlineStr">
        <is>
          <t>Definir revisão de escopo quando uma hipótese comercial for invalidada.</t>
        </is>
      </c>
      <c r="D100" s="2" t="inlineStr">
        <is>
          <t>Produto, UX e Liderança técnica</t>
        </is>
      </c>
      <c r="E100" s="4" t="inlineStr">
        <is>
          <t>Pendente</t>
        </is>
      </c>
      <c r="F100" s="4" t="inlineStr"/>
      <c r="G100" s="2">
        <f>IF(AND(E100="Concluída",LEN(TRIM(F100))&gt;0),1,0)</f>
        <v/>
      </c>
      <c r="H100" s="4" t="inlineStr"/>
    </row>
    <row r="101" ht="54" customHeight="1">
      <c r="A101" s="2" t="inlineStr">
        <is>
          <t>E010</t>
        </is>
      </c>
      <c r="B101" s="2" t="inlineStr">
        <is>
          <t>E010.10</t>
        </is>
      </c>
      <c r="C101" s="2" t="inlineStr">
        <is>
          <t>Registrar critérios de saída e capacidade comprometida para a primeira release.</t>
        </is>
      </c>
      <c r="D101" s="2" t="inlineStr">
        <is>
          <t>Produto, UX e Liderança técnica</t>
        </is>
      </c>
      <c r="E101" s="4" t="inlineStr">
        <is>
          <t>Pendente</t>
        </is>
      </c>
      <c r="F101" s="4" t="inlineStr"/>
      <c r="G101" s="2">
        <f>IF(AND(E101="Concluída",LEN(TRIM(F101))&gt;0),1,0)</f>
        <v/>
      </c>
      <c r="H101" s="4" t="inlineStr"/>
    </row>
    <row r="102" ht="54" customHeight="1">
      <c r="A102" s="2" t="inlineStr">
        <is>
          <t>E011</t>
        </is>
      </c>
      <c r="B102" s="2" t="inlineStr">
        <is>
          <t>E011.01</t>
        </is>
      </c>
      <c r="C102" s="2" t="inlineStr">
        <is>
          <t>Inspecionar o schema real do banco próprio por acesso administrativo seguro.</t>
        </is>
      </c>
      <c r="D102" s="2" t="inlineStr">
        <is>
          <t>Backend e Arquitetura</t>
        </is>
      </c>
      <c r="E102" s="4" t="inlineStr">
        <is>
          <t>Pendente</t>
        </is>
      </c>
      <c r="F102" s="4" t="inlineStr"/>
      <c r="G102" s="2">
        <f>IF(AND(E102="Concluída",LEN(TRIM(F102))&gt;0),1,0)</f>
        <v/>
      </c>
      <c r="H102" s="4" t="inlineStr"/>
    </row>
    <row r="103" ht="54" customHeight="1">
      <c r="A103" s="2" t="inlineStr">
        <is>
          <t>E011</t>
        </is>
      </c>
      <c r="B103" s="2" t="inlineStr">
        <is>
          <t>E011.02</t>
        </is>
      </c>
      <c r="C103" s="2" t="inlineStr">
        <is>
          <t>Comparar tabelas implantadas com migrations e tipos versionados.</t>
        </is>
      </c>
      <c r="D103" s="2" t="inlineStr">
        <is>
          <t>Backend e Arquitetura</t>
        </is>
      </c>
      <c r="E103" s="4" t="inlineStr">
        <is>
          <t>Pendente</t>
        </is>
      </c>
      <c r="F103" s="4" t="inlineStr"/>
      <c r="G103" s="2">
        <f>IF(AND(E103="Concluída",LEN(TRIM(F103))&gt;0),1,0)</f>
        <v/>
      </c>
      <c r="H103" s="4" t="inlineStr"/>
    </row>
    <row r="104" ht="54" customHeight="1">
      <c r="A104" s="2" t="inlineStr">
        <is>
          <t>E011</t>
        </is>
      </c>
      <c r="B104" s="2" t="inlineStr">
        <is>
          <t>E011.03</t>
        </is>
      </c>
      <c r="C104" s="2" t="inlineStr">
        <is>
          <t>Resolver conceitualmente diferenças entre cooperativa, Singular e organização.</t>
        </is>
      </c>
      <c r="D104" s="2" t="inlineStr">
        <is>
          <t>Backend e Arquitetura</t>
        </is>
      </c>
      <c r="E104" s="4" t="inlineStr">
        <is>
          <t>Pendente</t>
        </is>
      </c>
      <c r="F104" s="4" t="inlineStr"/>
      <c r="G104" s="2">
        <f>IF(AND(E104="Concluída",LEN(TRIM(F104))&gt;0),1,0)</f>
        <v/>
      </c>
      <c r="H104" s="4" t="inlineStr"/>
    </row>
    <row r="105" ht="54" customHeight="1">
      <c r="A105" s="2" t="inlineStr">
        <is>
          <t>E011</t>
        </is>
      </c>
      <c r="B105" s="2" t="inlineStr">
        <is>
          <t>E011.04</t>
        </is>
      </c>
      <c r="C105" s="2" t="inlineStr">
        <is>
          <t>Definir um identificador canônico de PA e seus vínculos válidos.</t>
        </is>
      </c>
      <c r="D105" s="2" t="inlineStr">
        <is>
          <t>Backend e Arquitetura</t>
        </is>
      </c>
      <c r="E105" s="4" t="inlineStr">
        <is>
          <t>Pendente</t>
        </is>
      </c>
      <c r="F105" s="4" t="inlineStr"/>
      <c r="G105" s="2">
        <f>IF(AND(E105="Concluída",LEN(TRIM(F105))&gt;0),1,0)</f>
        <v/>
      </c>
      <c r="H105" s="4" t="inlineStr"/>
    </row>
    <row r="106" ht="54" customHeight="1">
      <c r="A106" s="2" t="inlineStr">
        <is>
          <t>E011</t>
        </is>
      </c>
      <c r="B106" s="2" t="inlineStr">
        <is>
          <t>E011.05</t>
        </is>
      </c>
      <c r="C106" s="2" t="inlineStr">
        <is>
          <t>Modelar centro de custo, período de verba e distribuição por unidade.</t>
        </is>
      </c>
      <c r="D106" s="2" t="inlineStr">
        <is>
          <t>Backend e Arquitetura</t>
        </is>
      </c>
      <c r="E106" s="4" t="inlineStr">
        <is>
          <t>Pendente</t>
        </is>
      </c>
      <c r="F106" s="4" t="inlineStr"/>
      <c r="G106" s="2">
        <f>IF(AND(E106="Concluída",LEN(TRIM(F106))&gt;0),1,0)</f>
        <v/>
      </c>
      <c r="H106" s="4" t="inlineStr"/>
    </row>
    <row r="107" ht="54" customHeight="1">
      <c r="A107" s="2" t="inlineStr">
        <is>
          <t>E011</t>
        </is>
      </c>
      <c r="B107" s="2" t="inlineStr">
        <is>
          <t>E011.06</t>
        </is>
      </c>
      <c r="C107" s="2" t="inlineStr">
        <is>
          <t>Separar requisição, proposta, pedido, entrega e documento financeiro.</t>
        </is>
      </c>
      <c r="D107" s="2" t="inlineStr">
        <is>
          <t>Backend e Arquitetura</t>
        </is>
      </c>
      <c r="E107" s="4" t="inlineStr">
        <is>
          <t>Pendente</t>
        </is>
      </c>
      <c r="F107" s="4" t="inlineStr"/>
      <c r="G107" s="2">
        <f>IF(AND(E107="Concluída",LEN(TRIM(F107))&gt;0),1,0)</f>
        <v/>
      </c>
      <c r="H107" s="4" t="inlineStr"/>
    </row>
    <row r="108" ht="54" customHeight="1">
      <c r="A108" s="2" t="inlineStr">
        <is>
          <t>E011</t>
        </is>
      </c>
      <c r="B108" s="2" t="inlineStr">
        <is>
          <t>E011.07</t>
        </is>
      </c>
      <c r="C108" s="2" t="inlineStr">
        <is>
          <t>Definir snapshots históricos sem duplicar o cadastro mestre de produto.</t>
        </is>
      </c>
      <c r="D108" s="2" t="inlineStr">
        <is>
          <t>Backend e Arquitetura</t>
        </is>
      </c>
      <c r="E108" s="4" t="inlineStr">
        <is>
          <t>Pendente</t>
        </is>
      </c>
      <c r="F108" s="4" t="inlineStr"/>
      <c r="G108" s="2">
        <f>IF(AND(E108="Concluída",LEN(TRIM(F108))&gt;0),1,0)</f>
        <v/>
      </c>
      <c r="H108" s="4" t="inlineStr"/>
    </row>
    <row r="109" ht="54" customHeight="1">
      <c r="A109" s="2" t="inlineStr">
        <is>
          <t>E011</t>
        </is>
      </c>
      <c r="B109" s="2" t="inlineStr">
        <is>
          <t>E011.08</t>
        </is>
      </c>
      <c r="C109" s="2" t="inlineStr">
        <is>
          <t>Mapear dados existentes e regras de reconciliação antes de migrar.</t>
        </is>
      </c>
      <c r="D109" s="2" t="inlineStr">
        <is>
          <t>Backend e Arquitetura</t>
        </is>
      </c>
      <c r="E109" s="4" t="inlineStr">
        <is>
          <t>Pendente</t>
        </is>
      </c>
      <c r="F109" s="4" t="inlineStr"/>
      <c r="G109" s="2">
        <f>IF(AND(E109="Concluída",LEN(TRIM(F109))&gt;0),1,0)</f>
        <v/>
      </c>
      <c r="H109" s="4" t="inlineStr"/>
    </row>
    <row r="110" ht="54" customHeight="1">
      <c r="A110" s="2" t="inlineStr">
        <is>
          <t>E011</t>
        </is>
      </c>
      <c r="B110" s="2" t="inlineStr">
        <is>
          <t>E011.09</t>
        </is>
      </c>
      <c r="C110" s="2" t="inlineStr">
        <is>
          <t>Gerar contratos tipados e validar exemplos consistentes de ponta a ponta.</t>
        </is>
      </c>
      <c r="D110" s="2" t="inlineStr">
        <is>
          <t>Backend e Arquitetura</t>
        </is>
      </c>
      <c r="E110" s="4" t="inlineStr">
        <is>
          <t>Pendente</t>
        </is>
      </c>
      <c r="F110" s="4" t="inlineStr"/>
      <c r="G110" s="2">
        <f>IF(AND(E110="Concluída",LEN(TRIM(F110))&gt;0),1,0)</f>
        <v/>
      </c>
      <c r="H110" s="4" t="inlineStr"/>
    </row>
    <row r="111" ht="54" customHeight="1">
      <c r="A111" s="2" t="inlineStr">
        <is>
          <t>E011</t>
        </is>
      </c>
      <c r="B111" s="2" t="inlineStr">
        <is>
          <t>E011.10</t>
        </is>
      </c>
      <c r="C111" s="2" t="inlineStr">
        <is>
          <t>Revisar o modelo com operações e registrar plano reversível de migração.</t>
        </is>
      </c>
      <c r="D111" s="2" t="inlineStr">
        <is>
          <t>Backend e Arquitetura</t>
        </is>
      </c>
      <c r="E111" s="4" t="inlineStr">
        <is>
          <t>Pendente</t>
        </is>
      </c>
      <c r="F111" s="4" t="inlineStr"/>
      <c r="G111" s="2">
        <f>IF(AND(E111="Concluída",LEN(TRIM(F111))&gt;0),1,0)</f>
        <v/>
      </c>
      <c r="H111" s="4" t="inlineStr"/>
    </row>
    <row r="112" ht="54" customHeight="1">
      <c r="A112" s="2" t="inlineStr">
        <is>
          <t>E012</t>
        </is>
      </c>
      <c r="B112" s="2" t="inlineStr">
        <is>
          <t>E012.01</t>
        </is>
      </c>
      <c r="C112" s="2" t="inlineStr">
        <is>
          <t>Listar ações de leitura, solicitação, edição, aprovação e cancelamento.</t>
        </is>
      </c>
      <c r="D112" s="2" t="inlineStr">
        <is>
          <t>Segurança e Backend</t>
        </is>
      </c>
      <c r="E112" s="4" t="inlineStr">
        <is>
          <t>Pendente</t>
        </is>
      </c>
      <c r="F112" s="4" t="inlineStr"/>
      <c r="G112" s="2">
        <f>IF(AND(E112="Concluída",LEN(TRIM(F112))&gt;0),1,0)</f>
        <v/>
      </c>
      <c r="H112" s="4" t="inlineStr"/>
    </row>
    <row r="113" ht="54" customHeight="1">
      <c r="A113" s="2" t="inlineStr">
        <is>
          <t>E012</t>
        </is>
      </c>
      <c r="B113" s="2" t="inlineStr">
        <is>
          <t>E012.02</t>
        </is>
      </c>
      <c r="C113" s="2" t="inlineStr">
        <is>
          <t>Separar aprovação de arte, despesa, recebimento e administração.</t>
        </is>
      </c>
      <c r="D113" s="2" t="inlineStr">
        <is>
          <t>Segurança e Backend</t>
        </is>
      </c>
      <c r="E113" s="4" t="inlineStr">
        <is>
          <t>Pendente</t>
        </is>
      </c>
      <c r="F113" s="4" t="inlineStr"/>
      <c r="G113" s="2">
        <f>IF(AND(E113="Concluída",LEN(TRIM(F113))&gt;0),1,0)</f>
        <v/>
      </c>
      <c r="H113" s="4" t="inlineStr"/>
    </row>
    <row r="114" ht="54" customHeight="1">
      <c r="A114" s="2" t="inlineStr">
        <is>
          <t>E012</t>
        </is>
      </c>
      <c r="B114" s="2" t="inlineStr">
        <is>
          <t>E012.03</t>
        </is>
      </c>
      <c r="C114" s="2" t="inlineStr">
        <is>
          <t>Mapear cada papel funcional às ações necessárias no piloto.</t>
        </is>
      </c>
      <c r="D114" s="2" t="inlineStr">
        <is>
          <t>Segurança e Backend</t>
        </is>
      </c>
      <c r="E114" s="4" t="inlineStr">
        <is>
          <t>Pendente</t>
        </is>
      </c>
      <c r="F114" s="4" t="inlineStr"/>
      <c r="G114" s="2">
        <f>IF(AND(E114="Concluída",LEN(TRIM(F114))&gt;0),1,0)</f>
        <v/>
      </c>
      <c r="H114" s="4" t="inlineStr"/>
    </row>
    <row r="115" ht="54" customHeight="1">
      <c r="A115" s="2" t="inlineStr">
        <is>
          <t>E012</t>
        </is>
      </c>
      <c r="B115" s="2" t="inlineStr">
        <is>
          <t>E012.04</t>
        </is>
      </c>
      <c r="C115" s="2" t="inlineStr">
        <is>
          <t>Restringir leitura conforme cooperativa, PA e centro de custo aplicáveis.</t>
        </is>
      </c>
      <c r="D115" s="2" t="inlineStr">
        <is>
          <t>Segurança e Backend</t>
        </is>
      </c>
      <c r="E115" s="4" t="inlineStr">
        <is>
          <t>Pendente</t>
        </is>
      </c>
      <c r="F115" s="4" t="inlineStr"/>
      <c r="G115" s="2">
        <f>IF(AND(E115="Concluída",LEN(TRIM(F115))&gt;0),1,0)</f>
        <v/>
      </c>
      <c r="H115" s="4" t="inlineStr"/>
    </row>
    <row r="116" ht="54" customHeight="1">
      <c r="A116" s="2" t="inlineStr">
        <is>
          <t>E012</t>
        </is>
      </c>
      <c r="B116" s="2" t="inlineStr">
        <is>
          <t>E012.05</t>
        </is>
      </c>
      <c r="C116" s="2" t="inlineStr">
        <is>
          <t>Definir como uma pessoa com múltiplos vínculos escolhe seu contexto.</t>
        </is>
      </c>
      <c r="D116" s="2" t="inlineStr">
        <is>
          <t>Segurança e Backend</t>
        </is>
      </c>
      <c r="E116" s="4" t="inlineStr">
        <is>
          <t>Pendente</t>
        </is>
      </c>
      <c r="F116" s="4" t="inlineStr"/>
      <c r="G116" s="2">
        <f>IF(AND(E116="Concluída",LEN(TRIM(F116))&gt;0),1,0)</f>
        <v/>
      </c>
      <c r="H116" s="4" t="inlineStr"/>
    </row>
    <row r="117" ht="54" customHeight="1">
      <c r="A117" s="2" t="inlineStr">
        <is>
          <t>E012</t>
        </is>
      </c>
      <c r="B117" s="2" t="inlineStr">
        <is>
          <t>E012.06</t>
        </is>
      </c>
      <c r="C117" s="2" t="inlineStr">
        <is>
          <t>Eliminar aliases de papéis que produzem interpretações contraditórias.</t>
        </is>
      </c>
      <c r="D117" s="2" t="inlineStr">
        <is>
          <t>Segurança e Backend</t>
        </is>
      </c>
      <c r="E117" s="4" t="inlineStr">
        <is>
          <t>Pendente</t>
        </is>
      </c>
      <c r="F117" s="4" t="inlineStr"/>
      <c r="G117" s="2">
        <f>IF(AND(E117="Concluída",LEN(TRIM(F117))&gt;0),1,0)</f>
        <v/>
      </c>
      <c r="H117" s="4" t="inlineStr"/>
    </row>
    <row r="118" ht="54" customHeight="1">
      <c r="A118" s="2" t="inlineStr">
        <is>
          <t>E012</t>
        </is>
      </c>
      <c r="B118" s="2" t="inlineStr">
        <is>
          <t>E012.07</t>
        </is>
      </c>
      <c r="C118" s="2" t="inlineStr">
        <is>
          <t>Definir precedência para permissões acumuladas e impedimentos explícitos.</t>
        </is>
      </c>
      <c r="D118" s="2" t="inlineStr">
        <is>
          <t>Segurança e Backend</t>
        </is>
      </c>
      <c r="E118" s="4" t="inlineStr">
        <is>
          <t>Pendente</t>
        </is>
      </c>
      <c r="F118" s="4" t="inlineStr"/>
      <c r="G118" s="2">
        <f>IF(AND(E118="Concluída",LEN(TRIM(F118))&gt;0),1,0)</f>
        <v/>
      </c>
      <c r="H118" s="4" t="inlineStr"/>
    </row>
    <row r="119" ht="54" customHeight="1">
      <c r="A119" s="2" t="inlineStr">
        <is>
          <t>E012</t>
        </is>
      </c>
      <c r="B119" s="2" t="inlineStr">
        <is>
          <t>E012.08</t>
        </is>
      </c>
      <c r="C119" s="2" t="inlineStr">
        <is>
          <t>Derivar identidade e vínculo de informações verificadas no servidor.</t>
        </is>
      </c>
      <c r="D119" s="2" t="inlineStr">
        <is>
          <t>Segurança e Backend</t>
        </is>
      </c>
      <c r="E119" s="4" t="inlineStr">
        <is>
          <t>Pendente</t>
        </is>
      </c>
      <c r="F119" s="4" t="inlineStr"/>
      <c r="G119" s="2">
        <f>IF(AND(E119="Concluída",LEN(TRIM(F119))&gt;0),1,0)</f>
        <v/>
      </c>
      <c r="H119" s="4" t="inlineStr"/>
    </row>
    <row r="120" ht="54" customHeight="1">
      <c r="A120" s="2" t="inlineStr">
        <is>
          <t>E012</t>
        </is>
      </c>
      <c r="B120" s="2" t="inlineStr">
        <is>
          <t>E012.09</t>
        </is>
      </c>
      <c r="C120" s="2" t="inlineStr">
        <is>
          <t>Registrar casos permitidos e negados para cada ação crítica.</t>
        </is>
      </c>
      <c r="D120" s="2" t="inlineStr">
        <is>
          <t>Segurança e Backend</t>
        </is>
      </c>
      <c r="E120" s="4" t="inlineStr">
        <is>
          <t>Pendente</t>
        </is>
      </c>
      <c r="F120" s="4" t="inlineStr"/>
      <c r="G120" s="2">
        <f>IF(AND(E120="Concluída",LEN(TRIM(F120))&gt;0),1,0)</f>
        <v/>
      </c>
      <c r="H120" s="4" t="inlineStr"/>
    </row>
    <row r="121" ht="54" customHeight="1">
      <c r="A121" s="2" t="inlineStr">
        <is>
          <t>E012</t>
        </is>
      </c>
      <c r="B121" s="2" t="inlineStr">
        <is>
          <t>E012.10</t>
        </is>
      </c>
      <c r="C121" s="2" t="inlineStr">
        <is>
          <t>Revisar a matriz com segurança e responsáveis das cooperativas piloto.</t>
        </is>
      </c>
      <c r="D121" s="2" t="inlineStr">
        <is>
          <t>Segurança e Backend</t>
        </is>
      </c>
      <c r="E121" s="4" t="inlineStr">
        <is>
          <t>Pendente</t>
        </is>
      </c>
      <c r="F121" s="4" t="inlineStr"/>
      <c r="G121" s="2">
        <f>IF(AND(E121="Concluída",LEN(TRIM(F121))&gt;0),1,0)</f>
        <v/>
      </c>
      <c r="H121" s="4" t="inlineStr"/>
    </row>
    <row r="122" ht="54" customHeight="1">
      <c r="A122" s="2" t="inlineStr">
        <is>
          <t>E013</t>
        </is>
      </c>
      <c r="B122" s="2" t="inlineStr">
        <is>
          <t>E013.01</t>
        </is>
      </c>
      <c r="C122" s="2" t="inlineStr">
        <is>
          <t>Identificar tabelas expostas por API e seus vínculos organizacionais.</t>
        </is>
      </c>
      <c r="D122" s="2" t="inlineStr">
        <is>
          <t>Segurança e Backend</t>
        </is>
      </c>
      <c r="E122" s="4" t="inlineStr">
        <is>
          <t>Pendente</t>
        </is>
      </c>
      <c r="F122" s="4" t="inlineStr"/>
      <c r="G122" s="2">
        <f>IF(AND(E122="Concluída",LEN(TRIM(F122))&gt;0),1,0)</f>
        <v/>
      </c>
      <c r="H122" s="4" t="inlineStr"/>
    </row>
    <row r="123" ht="54" customHeight="1">
      <c r="A123" s="2" t="inlineStr">
        <is>
          <t>E013</t>
        </is>
      </c>
      <c r="B123" s="2" t="inlineStr">
        <is>
          <t>E013.02</t>
        </is>
      </c>
      <c r="C123" s="2" t="inlineStr">
        <is>
          <t>Revisar políticas de leitura para usuários autenticados e anônimos.</t>
        </is>
      </c>
      <c r="D123" s="2" t="inlineStr">
        <is>
          <t>Segurança e Backend</t>
        </is>
      </c>
      <c r="E123" s="4" t="inlineStr">
        <is>
          <t>Pendente</t>
        </is>
      </c>
      <c r="F123" s="4" t="inlineStr"/>
      <c r="G123" s="2">
        <f>IF(AND(E123="Concluída",LEN(TRIM(F123))&gt;0),1,0)</f>
        <v/>
      </c>
      <c r="H123" s="4" t="inlineStr"/>
    </row>
    <row r="124" ht="54" customHeight="1">
      <c r="A124" s="2" t="inlineStr">
        <is>
          <t>E013</t>
        </is>
      </c>
      <c r="B124" s="2" t="inlineStr">
        <is>
          <t>E013.03</t>
        </is>
      </c>
      <c r="C124" s="2" t="inlineStr">
        <is>
          <t>Revisar inserção e alteração para impedir troca arbitrária de cooperativa.</t>
        </is>
      </c>
      <c r="D124" s="2" t="inlineStr">
        <is>
          <t>Segurança e Backend</t>
        </is>
      </c>
      <c r="E124" s="4" t="inlineStr">
        <is>
          <t>Pendente</t>
        </is>
      </c>
      <c r="F124" s="4" t="inlineStr"/>
      <c r="G124" s="2">
        <f>IF(AND(E124="Concluída",LEN(TRIM(F124))&gt;0),1,0)</f>
        <v/>
      </c>
      <c r="H124" s="4" t="inlineStr"/>
    </row>
    <row r="125" ht="54" customHeight="1">
      <c r="A125" s="2" t="inlineStr">
        <is>
          <t>E013</t>
        </is>
      </c>
      <c r="B125" s="2" t="inlineStr">
        <is>
          <t>E013.04</t>
        </is>
      </c>
      <c r="C125" s="2" t="inlineStr">
        <is>
          <t>Restringir buckets e objetos que contêm artes e documentos privados.</t>
        </is>
      </c>
      <c r="D125" s="2" t="inlineStr">
        <is>
          <t>Segurança e Backend</t>
        </is>
      </c>
      <c r="E125" s="4" t="inlineStr">
        <is>
          <t>Pendente</t>
        </is>
      </c>
      <c r="F125" s="4" t="inlineStr"/>
      <c r="G125" s="2">
        <f>IF(AND(E125="Concluída",LEN(TRIM(F125))&gt;0),1,0)</f>
        <v/>
      </c>
      <c r="H125" s="4" t="inlineStr"/>
    </row>
    <row r="126" ht="54" customHeight="1">
      <c r="A126" s="2" t="inlineStr">
        <is>
          <t>E013</t>
        </is>
      </c>
      <c r="B126" s="2" t="inlineStr">
        <is>
          <t>E013.05</t>
        </is>
      </c>
      <c r="C126" s="2" t="inlineStr">
        <is>
          <t>Verificar links compartilhados quanto a escopo, validade e revogação.</t>
        </is>
      </c>
      <c r="D126" s="2" t="inlineStr">
        <is>
          <t>Segurança e Backend</t>
        </is>
      </c>
      <c r="E126" s="4" t="inlineStr">
        <is>
          <t>Pendente</t>
        </is>
      </c>
      <c r="F126" s="4" t="inlineStr"/>
      <c r="G126" s="2">
        <f>IF(AND(E126="Concluída",LEN(TRIM(F126))&gt;0),1,0)</f>
        <v/>
      </c>
      <c r="H126" s="4" t="inlineStr"/>
    </row>
    <row r="127" ht="54" customHeight="1">
      <c r="A127" s="2" t="inlineStr">
        <is>
          <t>E013</t>
        </is>
      </c>
      <c r="B127" s="2" t="inlineStr">
        <is>
          <t>E013.06</t>
        </is>
      </c>
      <c r="C127" s="2" t="inlineStr">
        <is>
          <t>Auditar funções privilegiadas que podem contornar políticas de linha.</t>
        </is>
      </c>
      <c r="D127" s="2" t="inlineStr">
        <is>
          <t>Segurança e Backend</t>
        </is>
      </c>
      <c r="E127" s="4" t="inlineStr">
        <is>
          <t>Pendente</t>
        </is>
      </c>
      <c r="F127" s="4" t="inlineStr"/>
      <c r="G127" s="2">
        <f>IF(AND(E127="Concluída",LEN(TRIM(F127))&gt;0),1,0)</f>
        <v/>
      </c>
      <c r="H127" s="4" t="inlineStr"/>
    </row>
    <row r="128" ht="54" customHeight="1">
      <c r="A128" s="2" t="inlineStr">
        <is>
          <t>E013</t>
        </is>
      </c>
      <c r="B128" s="2" t="inlineStr">
        <is>
          <t>E013.07</t>
        </is>
      </c>
      <c r="C128" s="2" t="inlineStr">
        <is>
          <t>Preparar usuários e dados de teste de duas cooperativas segregadas.</t>
        </is>
      </c>
      <c r="D128" s="2" t="inlineStr">
        <is>
          <t>Segurança e Backend</t>
        </is>
      </c>
      <c r="E128" s="4" t="inlineStr">
        <is>
          <t>Pendente</t>
        </is>
      </c>
      <c r="F128" s="4" t="inlineStr"/>
      <c r="G128" s="2">
        <f>IF(AND(E128="Concluída",LEN(TRIM(F128))&gt;0),1,0)</f>
        <v/>
      </c>
      <c r="H128" s="4" t="inlineStr"/>
    </row>
    <row r="129" ht="54" customHeight="1">
      <c r="A129" s="2" t="inlineStr">
        <is>
          <t>E013</t>
        </is>
      </c>
      <c r="B129" s="2" t="inlineStr">
        <is>
          <t>E013.08</t>
        </is>
      </c>
      <c r="C129" s="2" t="inlineStr">
        <is>
          <t>Testar acesso cruzado com papéis iguais em organizações diferentes.</t>
        </is>
      </c>
      <c r="D129" s="2" t="inlineStr">
        <is>
          <t>Segurança e Backend</t>
        </is>
      </c>
      <c r="E129" s="4" t="inlineStr">
        <is>
          <t>Pendente</t>
        </is>
      </c>
      <c r="F129" s="4" t="inlineStr"/>
      <c r="G129" s="2">
        <f>IF(AND(E129="Concluída",LEN(TRIM(F129))&gt;0),1,0)</f>
        <v/>
      </c>
      <c r="H129" s="4" t="inlineStr"/>
    </row>
    <row r="130" ht="54" customHeight="1">
      <c r="A130" s="2" t="inlineStr">
        <is>
          <t>E013</t>
        </is>
      </c>
      <c r="B130" s="2" t="inlineStr">
        <is>
          <t>E013.09</t>
        </is>
      </c>
      <c r="C130" s="2" t="inlineStr">
        <is>
          <t>Confirmar que falha de rede não é interpretada como autorização negada bem-sucedida.</t>
        </is>
      </c>
      <c r="D130" s="2" t="inlineStr">
        <is>
          <t>Segurança e Backend</t>
        </is>
      </c>
      <c r="E130" s="4" t="inlineStr">
        <is>
          <t>Pendente</t>
        </is>
      </c>
      <c r="F130" s="4" t="inlineStr"/>
      <c r="G130" s="2">
        <f>IF(AND(E130="Concluída",LEN(TRIM(F130))&gt;0),1,0)</f>
        <v/>
      </c>
      <c r="H130" s="4" t="inlineStr"/>
    </row>
    <row r="131" ht="54" customHeight="1">
      <c r="A131" s="2" t="inlineStr">
        <is>
          <t>E013</t>
        </is>
      </c>
      <c r="B131" s="2" t="inlineStr">
        <is>
          <t>E013.10</t>
        </is>
      </c>
      <c r="C131" s="2" t="inlineStr">
        <is>
          <t>Publicar evidências dos casos permitidos e negados vinculadas ao schema testado.</t>
        </is>
      </c>
      <c r="D131" s="2" t="inlineStr">
        <is>
          <t>Segurança e Backend</t>
        </is>
      </c>
      <c r="E131" s="4" t="inlineStr">
        <is>
          <t>Pendente</t>
        </is>
      </c>
      <c r="F131" s="4" t="inlineStr"/>
      <c r="G131" s="2">
        <f>IF(AND(E131="Concluída",LEN(TRIM(F131))&gt;0),1,0)</f>
        <v/>
      </c>
      <c r="H131" s="4" t="inlineStr"/>
    </row>
    <row r="132" ht="54" customHeight="1">
      <c r="A132" s="2" t="inlineStr">
        <is>
          <t>E014</t>
        </is>
      </c>
      <c r="B132" s="2" t="inlineStr">
        <is>
          <t>E014.01</t>
        </is>
      </c>
      <c r="C132" s="2" t="inlineStr">
        <is>
          <t>Identificar todos os wrappers aplicados às rotas do portal.</t>
        </is>
      </c>
      <c r="D132" s="2" t="inlineStr">
        <is>
          <t>Frontend e QA</t>
        </is>
      </c>
      <c r="E132" s="4" t="inlineStr">
        <is>
          <t>Pendente</t>
        </is>
      </c>
      <c r="F132" s="4" t="inlineStr"/>
      <c r="G132" s="2">
        <f>IF(AND(E132="Concluída",LEN(TRIM(F132))&gt;0),1,0)</f>
        <v/>
      </c>
      <c r="H132" s="4" t="inlineStr"/>
    </row>
    <row r="133" ht="54" customHeight="1">
      <c r="A133" s="2" t="inlineStr">
        <is>
          <t>E014</t>
        </is>
      </c>
      <c r="B133" s="2" t="inlineStr">
        <is>
          <t>E014.02</t>
        </is>
      </c>
      <c r="C133" s="2" t="inlineStr">
        <is>
          <t>Padronizar nomes e tipos das propriedades expostas por AuthContext.</t>
        </is>
      </c>
      <c r="D133" s="2" t="inlineStr">
        <is>
          <t>Frontend e QA</t>
        </is>
      </c>
      <c r="E133" s="4" t="inlineStr">
        <is>
          <t>Pendente</t>
        </is>
      </c>
      <c r="F133" s="4" t="inlineStr"/>
      <c r="G133" s="2">
        <f>IF(AND(E133="Concluída",LEN(TRIM(F133))&gt;0),1,0)</f>
        <v/>
      </c>
      <c r="H133" s="4" t="inlineStr"/>
    </row>
    <row r="134" ht="54" customHeight="1">
      <c r="A134" s="2" t="inlineStr">
        <is>
          <t>E014</t>
        </is>
      </c>
      <c r="B134" s="2" t="inlineStr">
        <is>
          <t>E014.03</t>
        </is>
      </c>
      <c r="C134" s="2" t="inlineStr">
        <is>
          <t>Remover dependência de propriedades inexistentes nos guards Sicoob.</t>
        </is>
      </c>
      <c r="D134" s="2" t="inlineStr">
        <is>
          <t>Frontend e QA</t>
        </is>
      </c>
      <c r="E134" s="4" t="inlineStr">
        <is>
          <t>Pendente</t>
        </is>
      </c>
      <c r="F134" s="4" t="inlineStr"/>
      <c r="G134" s="2">
        <f>IF(AND(E134="Concluída",LEN(TRIM(F134))&gt;0),1,0)</f>
        <v/>
      </c>
      <c r="H134" s="4" t="inlineStr"/>
    </row>
    <row r="135" ht="54" customHeight="1">
      <c r="A135" s="2" t="inlineStr">
        <is>
          <t>E014</t>
        </is>
      </c>
      <c r="B135" s="2" t="inlineStr">
        <is>
          <t>E014.04</t>
        </is>
      </c>
      <c r="C135" s="2" t="inlineStr">
        <is>
          <t>Alinhar a barreira administrativa com a matriz de ações autorizadas.</t>
        </is>
      </c>
      <c r="D135" s="2" t="inlineStr">
        <is>
          <t>Frontend e QA</t>
        </is>
      </c>
      <c r="E135" s="4" t="inlineStr">
        <is>
          <t>Pendente</t>
        </is>
      </c>
      <c r="F135" s="4" t="inlineStr"/>
      <c r="G135" s="2">
        <f>IF(AND(E135="Concluída",LEN(TRIM(F135))&gt;0),1,0)</f>
        <v/>
      </c>
      <c r="H135" s="4" t="inlineStr"/>
    </row>
    <row r="136" ht="54" customHeight="1">
      <c r="A136" s="2" t="inlineStr">
        <is>
          <t>E014</t>
        </is>
      </c>
      <c r="B136" s="2" t="inlineStr">
        <is>
          <t>E014.05</t>
        </is>
      </c>
      <c r="C136" s="2" t="inlineStr">
        <is>
          <t>Resolver rotas duplicadas com páginas ou permissões divergentes.</t>
        </is>
      </c>
      <c r="D136" s="2" t="inlineStr">
        <is>
          <t>Frontend e QA</t>
        </is>
      </c>
      <c r="E136" s="4" t="inlineStr">
        <is>
          <t>Pendente</t>
        </is>
      </c>
      <c r="F136" s="4" t="inlineStr"/>
      <c r="G136" s="2">
        <f>IF(AND(E136="Concluída",LEN(TRIM(F136))&gt;0),1,0)</f>
        <v/>
      </c>
      <c r="H136" s="4" t="inlineStr"/>
    </row>
    <row r="137" ht="54" customHeight="1">
      <c r="A137" s="2" t="inlineStr">
        <is>
          <t>E014</t>
        </is>
      </c>
      <c r="B137" s="2" t="inlineStr">
        <is>
          <t>E014.06</t>
        </is>
      </c>
      <c r="C137" s="2" t="inlineStr">
        <is>
          <t>Separar carregamento de sessão, carregamento de permissões e acesso negado.</t>
        </is>
      </c>
      <c r="D137" s="2" t="inlineStr">
        <is>
          <t>Frontend e QA</t>
        </is>
      </c>
      <c r="E137" s="4" t="inlineStr">
        <is>
          <t>Pendente</t>
        </is>
      </c>
      <c r="F137" s="4" t="inlineStr"/>
      <c r="G137" s="2">
        <f>IF(AND(E137="Concluída",LEN(TRIM(F137))&gt;0),1,0)</f>
        <v/>
      </c>
      <c r="H137" s="4" t="inlineStr"/>
    </row>
    <row r="138" ht="54" customHeight="1">
      <c r="A138" s="2" t="inlineStr">
        <is>
          <t>E014</t>
        </is>
      </c>
      <c r="B138" s="2" t="inlineStr">
        <is>
          <t>E014.07</t>
        </is>
      </c>
      <c r="C138" s="2" t="inlineStr">
        <is>
          <t>Preservar destino solicitado ao autenticar quando ele for autorizado.</t>
        </is>
      </c>
      <c r="D138" s="2" t="inlineStr">
        <is>
          <t>Frontend e QA</t>
        </is>
      </c>
      <c r="E138" s="4" t="inlineStr">
        <is>
          <t>Pendente</t>
        </is>
      </c>
      <c r="F138" s="4" t="inlineStr"/>
      <c r="G138" s="2">
        <f>IF(AND(E138="Concluída",LEN(TRIM(F138))&gt;0),1,0)</f>
        <v/>
      </c>
      <c r="H138" s="4" t="inlineStr"/>
    </row>
    <row r="139" ht="54" customHeight="1">
      <c r="A139" s="2" t="inlineStr">
        <is>
          <t>E014</t>
        </is>
      </c>
      <c r="B139" s="2" t="inlineStr">
        <is>
          <t>E014.08</t>
        </is>
      </c>
      <c r="C139" s="2" t="inlineStr">
        <is>
          <t>Impedir loops de redirecionamento e telas vazias em sessão expirada.</t>
        </is>
      </c>
      <c r="D139" s="2" t="inlineStr">
        <is>
          <t>Frontend e QA</t>
        </is>
      </c>
      <c r="E139" s="4" t="inlineStr">
        <is>
          <t>Pendente</t>
        </is>
      </c>
      <c r="F139" s="4" t="inlineStr"/>
      <c r="G139" s="2">
        <f>IF(AND(E139="Concluída",LEN(TRIM(F139))&gt;0),1,0)</f>
        <v/>
      </c>
      <c r="H139" s="4" t="inlineStr"/>
    </row>
    <row r="140" ht="54" customHeight="1">
      <c r="A140" s="2" t="inlineStr">
        <is>
          <t>E014</t>
        </is>
      </c>
      <c r="B140" s="2" t="inlineStr">
        <is>
          <t>E014.09</t>
        </is>
      </c>
      <c r="C140" s="2" t="inlineStr">
        <is>
          <t>Executar navegação real por perfil com verificações negativas.</t>
        </is>
      </c>
      <c r="D140" s="2" t="inlineStr">
        <is>
          <t>Frontend e QA</t>
        </is>
      </c>
      <c r="E140" s="4" t="inlineStr">
        <is>
          <t>Pendente</t>
        </is>
      </c>
      <c r="F140" s="4" t="inlineStr"/>
      <c r="G140" s="2">
        <f>IF(AND(E140="Concluída",LEN(TRIM(F140))&gt;0),1,0)</f>
        <v/>
      </c>
      <c r="H140" s="4" t="inlineStr"/>
    </row>
    <row r="141" ht="54" customHeight="1">
      <c r="A141" s="2" t="inlineStr">
        <is>
          <t>E014</t>
        </is>
      </c>
      <c r="B141" s="2" t="inlineStr">
        <is>
          <t>E014.10</t>
        </is>
      </c>
      <c r="C141" s="2" t="inlineStr">
        <is>
          <t>Registrar a composição final das rotas e resultados do fluxo autenticado.</t>
        </is>
      </c>
      <c r="D141" s="2" t="inlineStr">
        <is>
          <t>Frontend e QA</t>
        </is>
      </c>
      <c r="E141" s="4" t="inlineStr">
        <is>
          <t>Pendente</t>
        </is>
      </c>
      <c r="F141" s="4" t="inlineStr"/>
      <c r="G141" s="2">
        <f>IF(AND(E141="Concluída",LEN(TRIM(F141))&gt;0),1,0)</f>
        <v/>
      </c>
      <c r="H141" s="4" t="inlineStr"/>
    </row>
    <row r="142" ht="54" customHeight="1">
      <c r="A142" s="2" t="inlineStr">
        <is>
          <t>E015</t>
        </is>
      </c>
      <c r="B142" s="2" t="inlineStr">
        <is>
          <t>E015.01</t>
        </is>
      </c>
      <c r="C142" s="2" t="inlineStr">
        <is>
          <t>Confirmar métodos de autenticação disponíveis no ambiente escolhido.</t>
        </is>
      </c>
      <c r="D142" s="2" t="inlineStr">
        <is>
          <t>Segurança, Frontend e UX</t>
        </is>
      </c>
      <c r="E142" s="4" t="inlineStr">
        <is>
          <t>Pendente</t>
        </is>
      </c>
      <c r="F142" s="4" t="inlineStr"/>
      <c r="G142" s="2">
        <f>IF(AND(E142="Concluída",LEN(TRIM(F142))&gt;0),1,0)</f>
        <v/>
      </c>
      <c r="H142" s="4" t="inlineStr"/>
    </row>
    <row r="143" ht="54" customHeight="1">
      <c r="A143" s="2" t="inlineStr">
        <is>
          <t>E015</t>
        </is>
      </c>
      <c r="B143" s="2" t="inlineStr">
        <is>
          <t>E015.02</t>
        </is>
      </c>
      <c r="C143" s="2" t="inlineStr">
        <is>
          <t>Definir requisito de proteção adicional para ações administrativas sensíveis.</t>
        </is>
      </c>
      <c r="D143" s="2" t="inlineStr">
        <is>
          <t>Segurança, Frontend e UX</t>
        </is>
      </c>
      <c r="E143" s="4" t="inlineStr">
        <is>
          <t>Pendente</t>
        </is>
      </c>
      <c r="F143" s="4" t="inlineStr"/>
      <c r="G143" s="2">
        <f>IF(AND(E143="Concluída",LEN(TRIM(F143))&gt;0),1,0)</f>
        <v/>
      </c>
      <c r="H143" s="4" t="inlineStr"/>
    </row>
    <row r="144" ht="54" customHeight="1">
      <c r="A144" s="2" t="inlineStr">
        <is>
          <t>E015</t>
        </is>
      </c>
      <c r="B144" s="2" t="inlineStr">
        <is>
          <t>E015.03</t>
        </is>
      </c>
      <c r="C144" s="2" t="inlineStr">
        <is>
          <t>Retirar passkey incompleta e botões de provedores desativados.</t>
        </is>
      </c>
      <c r="D144" s="2" t="inlineStr">
        <is>
          <t>Segurança, Frontend e UX</t>
        </is>
      </c>
      <c r="E144" s="4" t="inlineStr">
        <is>
          <t>Pendente</t>
        </is>
      </c>
      <c r="F144" s="4" t="inlineStr"/>
      <c r="G144" s="2">
        <f>IF(AND(E144="Concluída",LEN(TRIM(F144))&gt;0),1,0)</f>
        <v/>
      </c>
      <c r="H144" s="4" t="inlineStr"/>
    </row>
    <row r="145" ht="54" customHeight="1">
      <c r="A145" s="2" t="inlineStr">
        <is>
          <t>E015</t>
        </is>
      </c>
      <c r="B145" s="2" t="inlineStr">
        <is>
          <t>E015.04</t>
        </is>
      </c>
      <c r="C145" s="2" t="inlineStr">
        <is>
          <t>Validar entrada por email e recuperação de acesso com sessão real.</t>
        </is>
      </c>
      <c r="D145" s="2" t="inlineStr">
        <is>
          <t>Segurança, Frontend e UX</t>
        </is>
      </c>
      <c r="E145" s="4" t="inlineStr">
        <is>
          <t>Pendente</t>
        </is>
      </c>
      <c r="F145" s="4" t="inlineStr"/>
      <c r="G145" s="2">
        <f>IF(AND(E145="Concluída",LEN(TRIM(F145))&gt;0),1,0)</f>
        <v/>
      </c>
      <c r="H145" s="4" t="inlineStr"/>
    </row>
    <row r="146" ht="54" customHeight="1">
      <c r="A146" s="2" t="inlineStr">
        <is>
          <t>E015</t>
        </is>
      </c>
      <c r="B146" s="2" t="inlineStr">
        <is>
          <t>E015.05</t>
        </is>
      </c>
      <c r="C146" s="2" t="inlineStr">
        <is>
          <t>Permitir colagem e uso de gerenciador de senhas nos campos apropriados.</t>
        </is>
      </c>
      <c r="D146" s="2" t="inlineStr">
        <is>
          <t>Segurança, Frontend e UX</t>
        </is>
      </c>
      <c r="E146" s="4" t="inlineStr">
        <is>
          <t>Pendente</t>
        </is>
      </c>
      <c r="F146" s="4" t="inlineStr"/>
      <c r="G146" s="2">
        <f>IF(AND(E146="Concluída",LEN(TRIM(F146))&gt;0),1,0)</f>
        <v/>
      </c>
      <c r="H146" s="4" t="inlineStr"/>
    </row>
    <row r="147" ht="54" customHeight="1">
      <c r="A147" s="2" t="inlineStr">
        <is>
          <t>E015</t>
        </is>
      </c>
      <c r="B147" s="2" t="inlineStr">
        <is>
          <t>E015.06</t>
        </is>
      </c>
      <c r="C147" s="2" t="inlineStr">
        <is>
          <t>Tratar credencial inválida sem revelar existência de outra pessoa.</t>
        </is>
      </c>
      <c r="D147" s="2" t="inlineStr">
        <is>
          <t>Segurança, Frontend e UX</t>
        </is>
      </c>
      <c r="E147" s="4" t="inlineStr">
        <is>
          <t>Pendente</t>
        </is>
      </c>
      <c r="F147" s="4" t="inlineStr"/>
      <c r="G147" s="2">
        <f>IF(AND(E147="Concluída",LEN(TRIM(F147))&gt;0),1,0)</f>
        <v/>
      </c>
      <c r="H147" s="4" t="inlineStr"/>
    </row>
    <row r="148" ht="54" customHeight="1">
      <c r="A148" s="2" t="inlineStr">
        <is>
          <t>E015</t>
        </is>
      </c>
      <c r="B148" s="2" t="inlineStr">
        <is>
          <t>E015.07</t>
        </is>
      </c>
      <c r="C148" s="2" t="inlineStr">
        <is>
          <t>Preservar trabalho compatível durante expiração e renovação da sessão.</t>
        </is>
      </c>
      <c r="D148" s="2" t="inlineStr">
        <is>
          <t>Segurança, Frontend e UX</t>
        </is>
      </c>
      <c r="E148" s="4" t="inlineStr">
        <is>
          <t>Pendente</t>
        </is>
      </c>
      <c r="F148" s="4" t="inlineStr"/>
      <c r="G148" s="2">
        <f>IF(AND(E148="Concluída",LEN(TRIM(F148))&gt;0),1,0)</f>
        <v/>
      </c>
      <c r="H148" s="4" t="inlineStr"/>
    </row>
    <row r="149" ht="54" customHeight="1">
      <c r="A149" s="2" t="inlineStr">
        <is>
          <t>E015</t>
        </is>
      </c>
      <c r="B149" s="2" t="inlineStr">
        <is>
          <t>E015.08</t>
        </is>
      </c>
      <c r="C149" s="2" t="inlineStr">
        <is>
          <t>Definir retorno seguro após logout e troca de vínculo.</t>
        </is>
      </c>
      <c r="D149" s="2" t="inlineStr">
        <is>
          <t>Segurança, Frontend e UX</t>
        </is>
      </c>
      <c r="E149" s="4" t="inlineStr">
        <is>
          <t>Pendente</t>
        </is>
      </c>
      <c r="F149" s="4" t="inlineStr"/>
      <c r="G149" s="2">
        <f>IF(AND(E149="Concluída",LEN(TRIM(F149))&gt;0),1,0)</f>
        <v/>
      </c>
      <c r="H149" s="4" t="inlineStr"/>
    </row>
    <row r="150" ht="54" customHeight="1">
      <c r="A150" s="2" t="inlineStr">
        <is>
          <t>E015</t>
        </is>
      </c>
      <c r="B150" s="2" t="inlineStr">
        <is>
          <t>E015.09</t>
        </is>
      </c>
      <c r="C150" s="2" t="inlineStr">
        <is>
          <t>Testar teclado, autofill, mensagens e estados de espera na autenticação.</t>
        </is>
      </c>
      <c r="D150" s="2" t="inlineStr">
        <is>
          <t>Segurança, Frontend e UX</t>
        </is>
      </c>
      <c r="E150" s="4" t="inlineStr">
        <is>
          <t>Pendente</t>
        </is>
      </c>
      <c r="F150" s="4" t="inlineStr"/>
      <c r="G150" s="2">
        <f>IF(AND(E150="Concluída",LEN(TRIM(F150))&gt;0),1,0)</f>
        <v/>
      </c>
      <c r="H150" s="4" t="inlineStr"/>
    </row>
    <row r="151" ht="54" customHeight="1">
      <c r="A151" s="2" t="inlineStr">
        <is>
          <t>E015</t>
        </is>
      </c>
      <c r="B151" s="2" t="inlineStr">
        <is>
          <t>E015.10</t>
        </is>
      </c>
      <c r="C151" s="2" t="inlineStr">
        <is>
          <t>Comprovar sessão, encerramento e recuperação sem mensagens falsas de sucesso.</t>
        </is>
      </c>
      <c r="D151" s="2" t="inlineStr">
        <is>
          <t>Segurança, Frontend e UX</t>
        </is>
      </c>
      <c r="E151" s="4" t="inlineStr">
        <is>
          <t>Pendente</t>
        </is>
      </c>
      <c r="F151" s="4" t="inlineStr"/>
      <c r="G151" s="2">
        <f>IF(AND(E151="Concluída",LEN(TRIM(F151))&gt;0),1,0)</f>
        <v/>
      </c>
      <c r="H151" s="4" t="inlineStr"/>
    </row>
    <row r="152" ht="54" customHeight="1">
      <c r="A152" s="2" t="inlineStr">
        <is>
          <t>E016</t>
        </is>
      </c>
      <c r="B152" s="2" t="inlineStr">
        <is>
          <t>E016.01</t>
        </is>
      </c>
      <c r="C152" s="2" t="inlineStr">
        <is>
          <t>Definir quem pode convidar solicitantes, marketing e aprovadores.</t>
        </is>
      </c>
      <c r="D152" s="2" t="inlineStr">
        <is>
          <t>Backend, UX e Administração</t>
        </is>
      </c>
      <c r="E152" s="4" t="inlineStr">
        <is>
          <t>Pendente</t>
        </is>
      </c>
      <c r="F152" s="4" t="inlineStr"/>
      <c r="G152" s="2">
        <f>IF(AND(E152="Concluída",LEN(TRIM(F152))&gt;0),1,0)</f>
        <v/>
      </c>
      <c r="H152" s="4" t="inlineStr"/>
    </row>
    <row r="153" ht="54" customHeight="1">
      <c r="A153" s="2" t="inlineStr">
        <is>
          <t>E016</t>
        </is>
      </c>
      <c r="B153" s="2" t="inlineStr">
        <is>
          <t>E016.02</t>
        </is>
      </c>
      <c r="C153" s="2" t="inlineStr">
        <is>
          <t>Vincular cada convite à cooperativa e ao papel permitido.</t>
        </is>
      </c>
      <c r="D153" s="2" t="inlineStr">
        <is>
          <t>Backend, UX e Administração</t>
        </is>
      </c>
      <c r="E153" s="4" t="inlineStr">
        <is>
          <t>Pendente</t>
        </is>
      </c>
      <c r="F153" s="4" t="inlineStr"/>
      <c r="G153" s="2">
        <f>IF(AND(E153="Concluída",LEN(TRIM(F153))&gt;0),1,0)</f>
        <v/>
      </c>
      <c r="H153" s="4" t="inlineStr"/>
    </row>
    <row r="154" ht="54" customHeight="1">
      <c r="A154" s="2" t="inlineStr">
        <is>
          <t>E016</t>
        </is>
      </c>
      <c r="B154" s="2" t="inlineStr">
        <is>
          <t>E016.03</t>
        </is>
      </c>
      <c r="C154" s="2" t="inlineStr">
        <is>
          <t>Restringir concessão de privilégios acima da autoridade do convidante.</t>
        </is>
      </c>
      <c r="D154" s="2" t="inlineStr">
        <is>
          <t>Backend, UX e Administração</t>
        </is>
      </c>
      <c r="E154" s="4" t="inlineStr">
        <is>
          <t>Pendente</t>
        </is>
      </c>
      <c r="F154" s="4" t="inlineStr"/>
      <c r="G154" s="2">
        <f>IF(AND(E154="Concluída",LEN(TRIM(F154))&gt;0),1,0)</f>
        <v/>
      </c>
      <c r="H154" s="4" t="inlineStr"/>
    </row>
    <row r="155" ht="54" customHeight="1">
      <c r="A155" s="2" t="inlineStr">
        <is>
          <t>E016</t>
        </is>
      </c>
      <c r="B155" s="2" t="inlineStr">
        <is>
          <t>E016.04</t>
        </is>
      </c>
      <c r="C155" s="2" t="inlineStr">
        <is>
          <t>Definir validade, reenvio e revogação do convite.</t>
        </is>
      </c>
      <c r="D155" s="2" t="inlineStr">
        <is>
          <t>Backend, UX e Administração</t>
        </is>
      </c>
      <c r="E155" s="4" t="inlineStr">
        <is>
          <t>Pendente</t>
        </is>
      </c>
      <c r="F155" s="4" t="inlineStr"/>
      <c r="G155" s="2">
        <f>IF(AND(E155="Concluída",LEN(TRIM(F155))&gt;0),1,0)</f>
        <v/>
      </c>
      <c r="H155" s="4" t="inlineStr"/>
    </row>
    <row r="156" ht="54" customHeight="1">
      <c r="A156" s="2" t="inlineStr">
        <is>
          <t>E016</t>
        </is>
      </c>
      <c r="B156" s="2" t="inlineStr">
        <is>
          <t>E016.05</t>
        </is>
      </c>
      <c r="C156" s="2" t="inlineStr">
        <is>
          <t>Tratar usuário existente que recebe acesso a outra unidade.</t>
        </is>
      </c>
      <c r="D156" s="2" t="inlineStr">
        <is>
          <t>Backend, UX e Administração</t>
        </is>
      </c>
      <c r="E156" s="4" t="inlineStr">
        <is>
          <t>Pendente</t>
        </is>
      </c>
      <c r="F156" s="4" t="inlineStr"/>
      <c r="G156" s="2">
        <f>IF(AND(E156="Concluída",LEN(TRIM(F156))&gt;0),1,0)</f>
        <v/>
      </c>
      <c r="H156" s="4" t="inlineStr"/>
    </row>
    <row r="157" ht="54" customHeight="1">
      <c r="A157" s="2" t="inlineStr">
        <is>
          <t>E016</t>
        </is>
      </c>
      <c r="B157" s="2" t="inlineStr">
        <is>
          <t>E016.06</t>
        </is>
      </c>
      <c r="C157" s="2" t="inlineStr">
        <is>
          <t>Mostrar entidade e responsabilidades antes de aceitar o vínculo.</t>
        </is>
      </c>
      <c r="D157" s="2" t="inlineStr">
        <is>
          <t>Backend, UX e Administração</t>
        </is>
      </c>
      <c r="E157" s="4" t="inlineStr">
        <is>
          <t>Pendente</t>
        </is>
      </c>
      <c r="F157" s="4" t="inlineStr"/>
      <c r="G157" s="2">
        <f>IF(AND(E157="Concluída",LEN(TRIM(F157))&gt;0),1,0)</f>
        <v/>
      </c>
      <c r="H157" s="4" t="inlineStr"/>
    </row>
    <row r="158" ht="54" customHeight="1">
      <c r="A158" s="2" t="inlineStr">
        <is>
          <t>E016</t>
        </is>
      </c>
      <c r="B158" s="2" t="inlineStr">
        <is>
          <t>E016.07</t>
        </is>
      </c>
      <c r="C158" s="2" t="inlineStr">
        <is>
          <t>Evitar duplicação de perfil quando o convite é reenviado.</t>
        </is>
      </c>
      <c r="D158" s="2" t="inlineStr">
        <is>
          <t>Backend, UX e Administração</t>
        </is>
      </c>
      <c r="E158" s="4" t="inlineStr">
        <is>
          <t>Pendente</t>
        </is>
      </c>
      <c r="F158" s="4" t="inlineStr"/>
      <c r="G158" s="2">
        <f>IF(AND(E158="Concluída",LEN(TRIM(F158))&gt;0),1,0)</f>
        <v/>
      </c>
      <c r="H158" s="4" t="inlineStr"/>
    </row>
    <row r="159" ht="54" customHeight="1">
      <c r="A159" s="2" t="inlineStr">
        <is>
          <t>E016</t>
        </is>
      </c>
      <c r="B159" s="2" t="inlineStr">
        <is>
          <t>E016.08</t>
        </is>
      </c>
      <c r="C159" s="2" t="inlineStr">
        <is>
          <t>Registrar aceitação e concessão de acesso no histórico administrativo.</t>
        </is>
      </c>
      <c r="D159" s="2" t="inlineStr">
        <is>
          <t>Backend, UX e Administração</t>
        </is>
      </c>
      <c r="E159" s="4" t="inlineStr">
        <is>
          <t>Pendente</t>
        </is>
      </c>
      <c r="F159" s="4" t="inlineStr"/>
      <c r="G159" s="2">
        <f>IF(AND(E159="Concluída",LEN(TRIM(F159))&gt;0),1,0)</f>
        <v/>
      </c>
      <c r="H159" s="4" t="inlineStr"/>
    </row>
    <row r="160" ht="54" customHeight="1">
      <c r="A160" s="2" t="inlineStr">
        <is>
          <t>E016</t>
        </is>
      </c>
      <c r="B160" s="2" t="inlineStr">
        <is>
          <t>E016.09</t>
        </is>
      </c>
      <c r="C160" s="2" t="inlineStr">
        <is>
          <t>Testar convite adulterado, expirado, revogado e já utilizado.</t>
        </is>
      </c>
      <c r="D160" s="2" t="inlineStr">
        <is>
          <t>Backend, UX e Administração</t>
        </is>
      </c>
      <c r="E160" s="4" t="inlineStr">
        <is>
          <t>Pendente</t>
        </is>
      </c>
      <c r="F160" s="4" t="inlineStr"/>
      <c r="G160" s="2">
        <f>IF(AND(E160="Concluída",LEN(TRIM(F160))&gt;0),1,0)</f>
        <v/>
      </c>
      <c r="H160" s="4" t="inlineStr"/>
    </row>
    <row r="161" ht="54" customHeight="1">
      <c r="A161" s="2" t="inlineStr">
        <is>
          <t>E016</t>
        </is>
      </c>
      <c r="B161" s="2" t="inlineStr">
        <is>
          <t>E016.10</t>
        </is>
      </c>
      <c r="C161" s="2" t="inlineStr">
        <is>
          <t>Homologar onboarding completo com usuário de teste e contexto correto.</t>
        </is>
      </c>
      <c r="D161" s="2" t="inlineStr">
        <is>
          <t>Backend, UX e Administração</t>
        </is>
      </c>
      <c r="E161" s="4" t="inlineStr">
        <is>
          <t>Pendente</t>
        </is>
      </c>
      <c r="F161" s="4" t="inlineStr"/>
      <c r="G161" s="2">
        <f>IF(AND(E161="Concluída",LEN(TRIM(F161))&gt;0),1,0)</f>
        <v/>
      </c>
      <c r="H161" s="4" t="inlineStr"/>
    </row>
    <row r="162" ht="54" customHeight="1">
      <c r="A162" s="2" t="inlineStr">
        <is>
          <t>E017</t>
        </is>
      </c>
      <c r="B162" s="2" t="inlineStr">
        <is>
          <t>E017.01</t>
        </is>
      </c>
      <c r="C162" s="2" t="inlineStr">
        <is>
          <t>Definir planejado, reservado, comprometido e consumido com financeiro.</t>
        </is>
      </c>
      <c r="D162" s="2" t="inlineStr">
        <is>
          <t>Backend e Financeiro</t>
        </is>
      </c>
      <c r="E162" s="4" t="inlineStr">
        <is>
          <t>Pendente</t>
        </is>
      </c>
      <c r="F162" s="4" t="inlineStr"/>
      <c r="G162" s="2">
        <f>IF(AND(E162="Concluída",LEN(TRIM(F162))&gt;0),1,0)</f>
        <v/>
      </c>
      <c r="H162" s="4" t="inlineStr"/>
    </row>
    <row r="163" ht="54" customHeight="1">
      <c r="A163" s="2" t="inlineStr">
        <is>
          <t>E017</t>
        </is>
      </c>
      <c r="B163" s="2" t="inlineStr">
        <is>
          <t>E017.02</t>
        </is>
      </c>
      <c r="C163" s="2" t="inlineStr">
        <is>
          <t>Associar cada saldo a período e centro de custo explícitos.</t>
        </is>
      </c>
      <c r="D163" s="2" t="inlineStr">
        <is>
          <t>Backend e Financeiro</t>
        </is>
      </c>
      <c r="E163" s="4" t="inlineStr">
        <is>
          <t>Pendente</t>
        </is>
      </c>
      <c r="F163" s="4" t="inlineStr"/>
      <c r="G163" s="2">
        <f>IF(AND(E163="Concluída",LEN(TRIM(F163))&gt;0),1,0)</f>
        <v/>
      </c>
      <c r="H163" s="4" t="inlineStr"/>
    </row>
    <row r="164" ht="54" customHeight="1">
      <c r="A164" s="2" t="inlineStr">
        <is>
          <t>E017</t>
        </is>
      </c>
      <c r="B164" s="2" t="inlineStr">
        <is>
          <t>E017.03</t>
        </is>
      </c>
      <c r="C164" s="2" t="inlineStr">
        <is>
          <t>Determinar composição do valor que compromete a verba.</t>
        </is>
      </c>
      <c r="D164" s="2" t="inlineStr">
        <is>
          <t>Backend e Financeiro</t>
        </is>
      </c>
      <c r="E164" s="4" t="inlineStr">
        <is>
          <t>Pendente</t>
        </is>
      </c>
      <c r="F164" s="4" t="inlineStr"/>
      <c r="G164" s="2">
        <f>IF(AND(E164="Concluída",LEN(TRIM(F164))&gt;0),1,0)</f>
        <v/>
      </c>
      <c r="H164" s="4" t="inlineStr"/>
    </row>
    <row r="165" ht="54" customHeight="1">
      <c r="A165" s="2" t="inlineStr">
        <is>
          <t>E017</t>
        </is>
      </c>
      <c r="B165" s="2" t="inlineStr">
        <is>
          <t>E017.04</t>
        </is>
      </c>
      <c r="C165" s="2" t="inlineStr">
        <is>
          <t>Implementar reserva e liberação conforme a política aprovada.</t>
        </is>
      </c>
      <c r="D165" s="2" t="inlineStr">
        <is>
          <t>Backend e Financeiro</t>
        </is>
      </c>
      <c r="E165" s="4" t="inlineStr">
        <is>
          <t>Pendente</t>
        </is>
      </c>
      <c r="F165" s="4" t="inlineStr"/>
      <c r="G165" s="2">
        <f>IF(AND(E165="Concluída",LEN(TRIM(F165))&gt;0),1,0)</f>
        <v/>
      </c>
      <c r="H165" s="4" t="inlineStr"/>
    </row>
    <row r="166" ht="54" customHeight="1">
      <c r="A166" s="2" t="inlineStr">
        <is>
          <t>E017</t>
        </is>
      </c>
      <c r="B166" s="2" t="inlineStr">
        <is>
          <t>E017.05</t>
        </is>
      </c>
      <c r="C166" s="2" t="inlineStr">
        <is>
          <t>Executar verificação de saldo e compromisso na mesma transação.</t>
        </is>
      </c>
      <c r="D166" s="2" t="inlineStr">
        <is>
          <t>Backend e Financeiro</t>
        </is>
      </c>
      <c r="E166" s="4" t="inlineStr">
        <is>
          <t>Pendente</t>
        </is>
      </c>
      <c r="F166" s="4" t="inlineStr"/>
      <c r="G166" s="2">
        <f>IF(AND(E166="Concluída",LEN(TRIM(F166))&gt;0),1,0)</f>
        <v/>
      </c>
      <c r="H166" s="4" t="inlineStr"/>
    </row>
    <row r="167" ht="54" customHeight="1">
      <c r="A167" s="2" t="inlineStr">
        <is>
          <t>E017</t>
        </is>
      </c>
      <c r="B167" s="2" t="inlineStr">
        <is>
          <t>E017.06</t>
        </is>
      </c>
      <c r="C167" s="2" t="inlineStr">
        <is>
          <t>Controlar reenvio por chave de idempotência e versão da operação.</t>
        </is>
      </c>
      <c r="D167" s="2" t="inlineStr">
        <is>
          <t>Backend e Financeiro</t>
        </is>
      </c>
      <c r="E167" s="4" t="inlineStr">
        <is>
          <t>Pendente</t>
        </is>
      </c>
      <c r="F167" s="4" t="inlineStr"/>
      <c r="G167" s="2">
        <f>IF(AND(E167="Concluída",LEN(TRIM(F167))&gt;0),1,0)</f>
        <v/>
      </c>
      <c r="H167" s="4" t="inlineStr"/>
    </row>
    <row r="168" ht="54" customHeight="1">
      <c r="A168" s="2" t="inlineStr">
        <is>
          <t>E017</t>
        </is>
      </c>
      <c r="B168" s="2" t="inlineStr">
        <is>
          <t>E017.07</t>
        </is>
      </c>
      <c r="C168" s="2" t="inlineStr">
        <is>
          <t>Implementar estorno e ajuste preservando trilha de eventos.</t>
        </is>
      </c>
      <c r="D168" s="2" t="inlineStr">
        <is>
          <t>Backend e Financeiro</t>
        </is>
      </c>
      <c r="E168" s="4" t="inlineStr">
        <is>
          <t>Pendente</t>
        </is>
      </c>
      <c r="F168" s="4" t="inlineStr"/>
      <c r="G168" s="2">
        <f>IF(AND(E168="Concluída",LEN(TRIM(F168))&gt;0),1,0)</f>
        <v/>
      </c>
      <c r="H168" s="4" t="inlineStr"/>
    </row>
    <row r="169" ht="54" customHeight="1">
      <c r="A169" s="2" t="inlineStr">
        <is>
          <t>E017</t>
        </is>
      </c>
      <c r="B169" s="2" t="inlineStr">
        <is>
          <t>E017.08</t>
        </is>
      </c>
      <c r="C169" s="2" t="inlineStr">
        <is>
          <t>Definir tratamento de pedido parcial e mudança de período.</t>
        </is>
      </c>
      <c r="D169" s="2" t="inlineStr">
        <is>
          <t>Backend e Financeiro</t>
        </is>
      </c>
      <c r="E169" s="4" t="inlineStr">
        <is>
          <t>Pendente</t>
        </is>
      </c>
      <c r="F169" s="4" t="inlineStr"/>
      <c r="G169" s="2">
        <f>IF(AND(E169="Concluída",LEN(TRIM(F169))&gt;0),1,0)</f>
        <v/>
      </c>
      <c r="H169" s="4" t="inlineStr"/>
    </row>
    <row r="170" ht="54" customHeight="1">
      <c r="A170" s="2" t="inlineStr">
        <is>
          <t>E017</t>
        </is>
      </c>
      <c r="B170" s="2" t="inlineStr">
        <is>
          <t>E017.09</t>
        </is>
      </c>
      <c r="C170" s="2" t="inlineStr">
        <is>
          <t>Testar duas aprovações simultâneas disputando o mesmo saldo.</t>
        </is>
      </c>
      <c r="D170" s="2" t="inlineStr">
        <is>
          <t>Backend e Financeiro</t>
        </is>
      </c>
      <c r="E170" s="4" t="inlineStr">
        <is>
          <t>Pendente</t>
        </is>
      </c>
      <c r="F170" s="4" t="inlineStr"/>
      <c r="G170" s="2">
        <f>IF(AND(E170="Concluída",LEN(TRIM(F170))&gt;0),1,0)</f>
        <v/>
      </c>
      <c r="H170" s="4" t="inlineStr"/>
    </row>
    <row r="171" ht="54" customHeight="1">
      <c r="A171" s="2" t="inlineStr">
        <is>
          <t>E017</t>
        </is>
      </c>
      <c r="B171" s="2" t="inlineStr">
        <is>
          <t>E017.10</t>
        </is>
      </c>
      <c r="C171" s="2" t="inlineStr">
        <is>
          <t>Conciliar os movimentos de uma amostra com os saldos apresentados.</t>
        </is>
      </c>
      <c r="D171" s="2" t="inlineStr">
        <is>
          <t>Backend e Financeiro</t>
        </is>
      </c>
      <c r="E171" s="4" t="inlineStr">
        <is>
          <t>Pendente</t>
        </is>
      </c>
      <c r="F171" s="4" t="inlineStr"/>
      <c r="G171" s="2">
        <f>IF(AND(E171="Concluída",LEN(TRIM(F171))&gt;0),1,0)</f>
        <v/>
      </c>
      <c r="H171" s="4" t="inlineStr"/>
    </row>
    <row r="172" ht="54" customHeight="1">
      <c r="A172" s="2" t="inlineStr">
        <is>
          <t>E018</t>
        </is>
      </c>
      <c r="B172" s="2" t="inlineStr">
        <is>
          <t>E018.01</t>
        </is>
      </c>
      <c r="C172" s="2" t="inlineStr">
        <is>
          <t>Obter a definição e os privilégios das RPCs realmente implantadas.</t>
        </is>
      </c>
      <c r="D172" s="2" t="inlineStr">
        <is>
          <t>Backend e Segurança</t>
        </is>
      </c>
      <c r="E172" s="4" t="inlineStr">
        <is>
          <t>Pendente</t>
        </is>
      </c>
      <c r="F172" s="4" t="inlineStr"/>
      <c r="G172" s="2">
        <f>IF(AND(E172="Concluída",LEN(TRIM(F172))&gt;0),1,0)</f>
        <v/>
      </c>
      <c r="H172" s="4" t="inlineStr"/>
    </row>
    <row r="173" ht="54" customHeight="1">
      <c r="A173" s="2" t="inlineStr">
        <is>
          <t>E018</t>
        </is>
      </c>
      <c r="B173" s="2" t="inlineStr">
        <is>
          <t>E018.02</t>
        </is>
      </c>
      <c r="C173" s="2" t="inlineStr">
        <is>
          <t>Derivar o ator da sessão autenticada no servidor.</t>
        </is>
      </c>
      <c r="D173" s="2" t="inlineStr">
        <is>
          <t>Backend e Segurança</t>
        </is>
      </c>
      <c r="E173" s="4" t="inlineStr">
        <is>
          <t>Pendente</t>
        </is>
      </c>
      <c r="F173" s="4" t="inlineStr"/>
      <c r="G173" s="2">
        <f>IF(AND(E173="Concluída",LEN(TRIM(F173))&gt;0),1,0)</f>
        <v/>
      </c>
      <c r="H173" s="4" t="inlineStr"/>
    </row>
    <row r="174" ht="54" customHeight="1">
      <c r="A174" s="2" t="inlineStr">
        <is>
          <t>E018</t>
        </is>
      </c>
      <c r="B174" s="2" t="inlineStr">
        <is>
          <t>E018.03</t>
        </is>
      </c>
      <c r="C174" s="2" t="inlineStr">
        <is>
          <t>Carregar pedido e requisição por relacionamento verificado.</t>
        </is>
      </c>
      <c r="D174" s="2" t="inlineStr">
        <is>
          <t>Backend e Segurança</t>
        </is>
      </c>
      <c r="E174" s="4" t="inlineStr">
        <is>
          <t>Pendente</t>
        </is>
      </c>
      <c r="F174" s="4" t="inlineStr"/>
      <c r="G174" s="2">
        <f>IF(AND(E174="Concluída",LEN(TRIM(F174))&gt;0),1,0)</f>
        <v/>
      </c>
      <c r="H174" s="4" t="inlineStr"/>
    </row>
    <row r="175" ht="54" customHeight="1">
      <c r="A175" s="2" t="inlineStr">
        <is>
          <t>E018</t>
        </is>
      </c>
      <c r="B175" s="2" t="inlineStr">
        <is>
          <t>E018.04</t>
        </is>
      </c>
      <c r="C175" s="2" t="inlineStr">
        <is>
          <t>Validar cooperativa, vínculo ativo e competência de aprovação.</t>
        </is>
      </c>
      <c r="D175" s="2" t="inlineStr">
        <is>
          <t>Backend e Segurança</t>
        </is>
      </c>
      <c r="E175" s="4" t="inlineStr">
        <is>
          <t>Pendente</t>
        </is>
      </c>
      <c r="F175" s="4" t="inlineStr"/>
      <c r="G175" s="2">
        <f>IF(AND(E175="Concluída",LEN(TRIM(F175))&gt;0),1,0)</f>
        <v/>
      </c>
      <c r="H175" s="4" t="inlineStr"/>
    </row>
    <row r="176" ht="54" customHeight="1">
      <c r="A176" s="2" t="inlineStr">
        <is>
          <t>E018</t>
        </is>
      </c>
      <c r="B176" s="2" t="inlineStr">
        <is>
          <t>E018.05</t>
        </is>
      </c>
      <c r="C176" s="2" t="inlineStr">
        <is>
          <t>Impedir autoaprovação quando a política local a proibir.</t>
        </is>
      </c>
      <c r="D176" s="2" t="inlineStr">
        <is>
          <t>Backend e Segurança</t>
        </is>
      </c>
      <c r="E176" s="4" t="inlineStr">
        <is>
          <t>Pendente</t>
        </is>
      </c>
      <c r="F176" s="4" t="inlineStr"/>
      <c r="G176" s="2">
        <f>IF(AND(E176="Concluída",LEN(TRIM(F176))&gt;0),1,0)</f>
        <v/>
      </c>
      <c r="H176" s="4" t="inlineStr"/>
    </row>
    <row r="177" ht="54" customHeight="1">
      <c r="A177" s="2" t="inlineStr">
        <is>
          <t>E018</t>
        </is>
      </c>
      <c r="B177" s="2" t="inlineStr">
        <is>
          <t>E018.06</t>
        </is>
      </c>
      <c r="C177" s="2" t="inlineStr">
        <is>
          <t>Validar estado anterior e versão da proposta a decidir.</t>
        </is>
      </c>
      <c r="D177" s="2" t="inlineStr">
        <is>
          <t>Backend e Segurança</t>
        </is>
      </c>
      <c r="E177" s="4" t="inlineStr">
        <is>
          <t>Pendente</t>
        </is>
      </c>
      <c r="F177" s="4" t="inlineStr"/>
      <c r="G177" s="2">
        <f>IF(AND(E177="Concluída",LEN(TRIM(F177))&gt;0),1,0)</f>
        <v/>
      </c>
      <c r="H177" s="4" t="inlineStr"/>
    </row>
    <row r="178" ht="54" customHeight="1">
      <c r="A178" s="2" t="inlineStr">
        <is>
          <t>E018</t>
        </is>
      </c>
      <c r="B178" s="2" t="inlineStr">
        <is>
          <t>E018.07</t>
        </is>
      </c>
      <c r="C178" s="2" t="inlineStr">
        <is>
          <t>Persistir decisão, verba e auditoria na mesma transação aplicável.</t>
        </is>
      </c>
      <c r="D178" s="2" t="inlineStr">
        <is>
          <t>Backend e Segurança</t>
        </is>
      </c>
      <c r="E178" s="4" t="inlineStr">
        <is>
          <t>Pendente</t>
        </is>
      </c>
      <c r="F178" s="4" t="inlineStr"/>
      <c r="G178" s="2">
        <f>IF(AND(E178="Concluída",LEN(TRIM(F178))&gt;0),1,0)</f>
        <v/>
      </c>
      <c r="H178" s="4" t="inlineStr"/>
    </row>
    <row r="179" ht="54" customHeight="1">
      <c r="A179" s="2" t="inlineStr">
        <is>
          <t>E018</t>
        </is>
      </c>
      <c r="B179" s="2" t="inlineStr">
        <is>
          <t>E018.08</t>
        </is>
      </c>
      <c r="C179" s="2" t="inlineStr">
        <is>
          <t>Tratar repetição de chamada sem duplicar decisão ou consumo.</t>
        </is>
      </c>
      <c r="D179" s="2" t="inlineStr">
        <is>
          <t>Backend e Segurança</t>
        </is>
      </c>
      <c r="E179" s="4" t="inlineStr">
        <is>
          <t>Pendente</t>
        </is>
      </c>
      <c r="F179" s="4" t="inlineStr"/>
      <c r="G179" s="2">
        <f>IF(AND(E179="Concluída",LEN(TRIM(F179))&gt;0),1,0)</f>
        <v/>
      </c>
      <c r="H179" s="4" t="inlineStr"/>
    </row>
    <row r="180" ht="54" customHeight="1">
      <c r="A180" s="2" t="inlineStr">
        <is>
          <t>E018</t>
        </is>
      </c>
      <c r="B180" s="2" t="inlineStr">
        <is>
          <t>E018.09</t>
        </is>
      </c>
      <c r="C180" s="2" t="inlineStr">
        <is>
          <t>Testar aprovador forjado, pedido cruzado e requisição incompatível.</t>
        </is>
      </c>
      <c r="D180" s="2" t="inlineStr">
        <is>
          <t>Backend e Segurança</t>
        </is>
      </c>
      <c r="E180" s="4" t="inlineStr">
        <is>
          <t>Pendente</t>
        </is>
      </c>
      <c r="F180" s="4" t="inlineStr"/>
      <c r="G180" s="2">
        <f>IF(AND(E180="Concluída",LEN(TRIM(F180))&gt;0),1,0)</f>
        <v/>
      </c>
      <c r="H180" s="4" t="inlineStr"/>
    </row>
    <row r="181" ht="54" customHeight="1">
      <c r="A181" s="2" t="inlineStr">
        <is>
          <t>E018</t>
        </is>
      </c>
      <c r="B181" s="2" t="inlineStr">
        <is>
          <t>E018.10</t>
        </is>
      </c>
      <c r="C181" s="2" t="inlineStr">
        <is>
          <t>Registrar testes de concorrência e concessões efetivas após a correção.</t>
        </is>
      </c>
      <c r="D181" s="2" t="inlineStr">
        <is>
          <t>Backend e Segurança</t>
        </is>
      </c>
      <c r="E181" s="4" t="inlineStr">
        <is>
          <t>Pendente</t>
        </is>
      </c>
      <c r="F181" s="4" t="inlineStr"/>
      <c r="G181" s="2">
        <f>IF(AND(E181="Concluída",LEN(TRIM(F181))&gt;0),1,0)</f>
        <v/>
      </c>
      <c r="H181" s="4" t="inlineStr"/>
    </row>
    <row r="182" ht="54" customHeight="1">
      <c r="A182" s="2" t="inlineStr">
        <is>
          <t>E019</t>
        </is>
      </c>
      <c r="B182" s="2" t="inlineStr">
        <is>
          <t>E019.01</t>
        </is>
      </c>
      <c r="C182" s="2" t="inlineStr">
        <is>
          <t>Reproduzir os gates de autorização e dependências que falharam.</t>
        </is>
      </c>
      <c r="D182" s="2" t="inlineStr">
        <is>
          <t>Liderança técnica e QA</t>
        </is>
      </c>
      <c r="E182" s="4" t="inlineStr">
        <is>
          <t>Pendente</t>
        </is>
      </c>
      <c r="F182" s="4" t="inlineStr"/>
      <c r="G182" s="2">
        <f>IF(AND(E182="Concluída",LEN(TRIM(F182))&gt;0),1,0)</f>
        <v/>
      </c>
      <c r="H182" s="4" t="inlineStr"/>
    </row>
    <row r="183" ht="54" customHeight="1">
      <c r="A183" s="2" t="inlineStr">
        <is>
          <t>E019</t>
        </is>
      </c>
      <c r="B183" s="2" t="inlineStr">
        <is>
          <t>E019.02</t>
        </is>
      </c>
      <c r="C183" s="2" t="inlineStr">
        <is>
          <t>Triar alertas por alcance e contexto de execução dos pacotes.</t>
        </is>
      </c>
      <c r="D183" s="2" t="inlineStr">
        <is>
          <t>Liderança técnica e QA</t>
        </is>
      </c>
      <c r="E183" s="4" t="inlineStr">
        <is>
          <t>Pendente</t>
        </is>
      </c>
      <c r="F183" s="4" t="inlineStr"/>
      <c r="G183" s="2">
        <f>IF(AND(E183="Concluída",LEN(TRIM(F183))&gt;0),1,0)</f>
        <v/>
      </c>
      <c r="H183" s="4" t="inlineStr"/>
    </row>
    <row r="184" ht="54" customHeight="1">
      <c r="A184" s="2" t="inlineStr">
        <is>
          <t>E019</t>
        </is>
      </c>
      <c r="B184" s="2" t="inlineStr">
        <is>
          <t>E019.03</t>
        </is>
      </c>
      <c r="C184" s="2" t="inlineStr">
        <is>
          <t>Atualizar dependências de forma compatível, revisando mudanças necessárias.</t>
        </is>
      </c>
      <c r="D184" s="2" t="inlineStr">
        <is>
          <t>Liderança técnica e QA</t>
        </is>
      </c>
      <c r="E184" s="4" t="inlineStr">
        <is>
          <t>Pendente</t>
        </is>
      </c>
      <c r="F184" s="4" t="inlineStr"/>
      <c r="G184" s="2">
        <f>IF(AND(E184="Concluída",LEN(TRIM(F184))&gt;0),1,0)</f>
        <v/>
      </c>
      <c r="H184" s="4" t="inlineStr"/>
    </row>
    <row r="185" ht="54" customHeight="1">
      <c r="A185" s="2" t="inlineStr">
        <is>
          <t>E019</t>
        </is>
      </c>
      <c r="B185" s="2" t="inlineStr">
        <is>
          <t>E019.04</t>
        </is>
      </c>
      <c r="C185" s="2" t="inlineStr">
        <is>
          <t>Corrigir tipos nos contratos críticos de acesso, catálogo, verba e pedido.</t>
        </is>
      </c>
      <c r="D185" s="2" t="inlineStr">
        <is>
          <t>Liderança técnica e QA</t>
        </is>
      </c>
      <c r="E185" s="4" t="inlineStr">
        <is>
          <t>Pendente</t>
        </is>
      </c>
      <c r="F185" s="4" t="inlineStr"/>
      <c r="G185" s="2">
        <f>IF(AND(E185="Concluída",LEN(TRIM(F185))&gt;0),1,0)</f>
        <v/>
      </c>
      <c r="H185" s="4" t="inlineStr"/>
    </row>
    <row r="186" ht="54" customHeight="1">
      <c r="A186" s="2" t="inlineStr">
        <is>
          <t>E019</t>
        </is>
      </c>
      <c r="B186" s="2" t="inlineStr">
        <is>
          <t>E019.05</t>
        </is>
      </c>
      <c r="C186" s="2" t="inlineStr">
        <is>
          <t>Comparar dívida restante com o baseline sem mascarar novos erros.</t>
        </is>
      </c>
      <c r="D186" s="2" t="inlineStr">
        <is>
          <t>Liderança técnica e QA</t>
        </is>
      </c>
      <c r="E186" s="4" t="inlineStr">
        <is>
          <t>Pendente</t>
        </is>
      </c>
      <c r="F186" s="4" t="inlineStr"/>
      <c r="G186" s="2">
        <f>IF(AND(E186="Concluída",LEN(TRIM(F186))&gt;0),1,0)</f>
        <v/>
      </c>
      <c r="H186" s="4" t="inlineStr"/>
    </row>
    <row r="187" ht="54" customHeight="1">
      <c r="A187" s="2" t="inlineStr">
        <is>
          <t>E019</t>
        </is>
      </c>
      <c r="B187" s="2" t="inlineStr">
        <is>
          <t>E019.06</t>
        </is>
      </c>
      <c r="C187" s="2" t="inlineStr">
        <is>
          <t>Corrigir caminhos inexistentes e identificadores duplicados dos workflows.</t>
        </is>
      </c>
      <c r="D187" s="2" t="inlineStr">
        <is>
          <t>Liderança técnica e QA</t>
        </is>
      </c>
      <c r="E187" s="4" t="inlineStr">
        <is>
          <t>Pendente</t>
        </is>
      </c>
      <c r="F187" s="4" t="inlineStr"/>
      <c r="G187" s="2">
        <f>IF(AND(E187="Concluída",LEN(TRIM(F187))&gt;0),1,0)</f>
        <v/>
      </c>
      <c r="H187" s="4" t="inlineStr"/>
    </row>
    <row r="188" ht="54" customHeight="1">
      <c r="A188" s="2" t="inlineStr">
        <is>
          <t>E019</t>
        </is>
      </c>
      <c r="B188" s="2" t="inlineStr">
        <is>
          <t>E019.07</t>
        </is>
      </c>
      <c r="C188" s="2" t="inlineStr">
        <is>
          <t>Fazer configuração obrigatória ausente produzir falha explícita.</t>
        </is>
      </c>
      <c r="D188" s="2" t="inlineStr">
        <is>
          <t>Liderança técnica e QA</t>
        </is>
      </c>
      <c r="E188" s="4" t="inlineStr">
        <is>
          <t>Pendente</t>
        </is>
      </c>
      <c r="F188" s="4" t="inlineStr"/>
      <c r="G188" s="2">
        <f>IF(AND(E188="Concluída",LEN(TRIM(F188))&gt;0),1,0)</f>
        <v/>
      </c>
      <c r="H188" s="4" t="inlineStr"/>
    </row>
    <row r="189" ht="54" customHeight="1">
      <c r="A189" s="2" t="inlineStr">
        <is>
          <t>E019</t>
        </is>
      </c>
      <c r="B189" s="2" t="inlineStr">
        <is>
          <t>E019.08</t>
        </is>
      </c>
      <c r="C189" s="2" t="inlineStr">
        <is>
          <t>Substituir mocks que impedem verificar a composição real das rotas.</t>
        </is>
      </c>
      <c r="D189" s="2" t="inlineStr">
        <is>
          <t>Liderança técnica e QA</t>
        </is>
      </c>
      <c r="E189" s="4" t="inlineStr">
        <is>
          <t>Pendente</t>
        </is>
      </c>
      <c r="F189" s="4" t="inlineStr"/>
      <c r="G189" s="2">
        <f>IF(AND(E189="Concluída",LEN(TRIM(F189))&gt;0),1,0)</f>
        <v/>
      </c>
      <c r="H189" s="4" t="inlineStr"/>
    </row>
    <row r="190" ht="54" customHeight="1">
      <c r="A190" s="2" t="inlineStr">
        <is>
          <t>E019</t>
        </is>
      </c>
      <c r="B190" s="2" t="inlineStr">
        <is>
          <t>E019.09</t>
        </is>
      </c>
      <c r="C190" s="2" t="inlineStr">
        <is>
          <t>Executar testes significativos das transações e negações de acesso.</t>
        </is>
      </c>
      <c r="D190" s="2" t="inlineStr">
        <is>
          <t>Liderança técnica e QA</t>
        </is>
      </c>
      <c r="E190" s="4" t="inlineStr">
        <is>
          <t>Pendente</t>
        </is>
      </c>
      <c r="F190" s="4" t="inlineStr"/>
      <c r="G190" s="2">
        <f>IF(AND(E190="Concluída",LEN(TRIM(F190))&gt;0),1,0)</f>
        <v/>
      </c>
      <c r="H190" s="4" t="inlineStr"/>
    </row>
    <row r="191" ht="54" customHeight="1">
      <c r="A191" s="2" t="inlineStr">
        <is>
          <t>E019</t>
        </is>
      </c>
      <c r="B191" s="2" t="inlineStr">
        <is>
          <t>E019.10</t>
        </is>
      </c>
      <c r="C191" s="2" t="inlineStr">
        <is>
          <t>Vincular resultados, comando, ambiente e commit no relatório de qualidade.</t>
        </is>
      </c>
      <c r="D191" s="2" t="inlineStr">
        <is>
          <t>Liderança técnica e QA</t>
        </is>
      </c>
      <c r="E191" s="4" t="inlineStr">
        <is>
          <t>Pendente</t>
        </is>
      </c>
      <c r="F191" s="4" t="inlineStr"/>
      <c r="G191" s="2">
        <f>IF(AND(E191="Concluída",LEN(TRIM(F191))&gt;0),1,0)</f>
        <v/>
      </c>
      <c r="H191" s="4" t="inlineStr"/>
    </row>
    <row r="192" ht="54" customHeight="1">
      <c r="A192" s="2" t="inlineStr">
        <is>
          <t>E020</t>
        </is>
      </c>
      <c r="B192" s="2" t="inlineStr">
        <is>
          <t>E020.01</t>
        </is>
      </c>
      <c r="C192" s="2" t="inlineStr">
        <is>
          <t>Separar variáveis e permissões de desenvolvimento, homologação e produção.</t>
        </is>
      </c>
      <c r="D192" s="2" t="inlineStr">
        <is>
          <t>Infraestrutura e Operação</t>
        </is>
      </c>
      <c r="E192" s="4" t="inlineStr">
        <is>
          <t>Pendente</t>
        </is>
      </c>
      <c r="F192" s="4" t="inlineStr"/>
      <c r="G192" s="2">
        <f>IF(AND(E192="Concluída",LEN(TRIM(F192))&gt;0),1,0)</f>
        <v/>
      </c>
      <c r="H192" s="4" t="inlineStr"/>
    </row>
    <row r="193" ht="54" customHeight="1">
      <c r="A193" s="2" t="inlineStr">
        <is>
          <t>E020</t>
        </is>
      </c>
      <c r="B193" s="2" t="inlineStr">
        <is>
          <t>E020.02</t>
        </is>
      </c>
      <c r="C193" s="2" t="inlineStr">
        <is>
          <t>Validar domínio, TLS e redirecionamentos do ambiente de homologação.</t>
        </is>
      </c>
      <c r="D193" s="2" t="inlineStr">
        <is>
          <t>Infraestrutura e Operação</t>
        </is>
      </c>
      <c r="E193" s="4" t="inlineStr">
        <is>
          <t>Pendente</t>
        </is>
      </c>
      <c r="F193" s="4" t="inlineStr"/>
      <c r="G193" s="2">
        <f>IF(AND(E193="Concluída",LEN(TRIM(F193))&gt;0),1,0)</f>
        <v/>
      </c>
      <c r="H193" s="4" t="inlineStr"/>
    </row>
    <row r="194" ht="54" customHeight="1">
      <c r="A194" s="2" t="inlineStr">
        <is>
          <t>E020</t>
        </is>
      </c>
      <c r="B194" s="2" t="inlineStr">
        <is>
          <t>E020.03</t>
        </is>
      </c>
      <c r="C194" s="2" t="inlineStr">
        <is>
          <t>Definir correlação de eventos entre interface, API e transação.</t>
        </is>
      </c>
      <c r="D194" s="2" t="inlineStr">
        <is>
          <t>Infraestrutura e Operação</t>
        </is>
      </c>
      <c r="E194" s="4" t="inlineStr">
        <is>
          <t>Pendente</t>
        </is>
      </c>
      <c r="F194" s="4" t="inlineStr"/>
      <c r="G194" s="2">
        <f>IF(AND(E194="Concluída",LEN(TRIM(F194))&gt;0),1,0)</f>
        <v/>
      </c>
      <c r="H194" s="4" t="inlineStr"/>
    </row>
    <row r="195" ht="54" customHeight="1">
      <c r="A195" s="2" t="inlineStr">
        <is>
          <t>E020</t>
        </is>
      </c>
      <c r="B195" s="2" t="inlineStr">
        <is>
          <t>E020.04</t>
        </is>
      </c>
      <c r="C195" s="2" t="inlineStr">
        <is>
          <t>Registrar falhas sem incluir segredos ou dados pessoais desnecessários.</t>
        </is>
      </c>
      <c r="D195" s="2" t="inlineStr">
        <is>
          <t>Infraestrutura e Operação</t>
        </is>
      </c>
      <c r="E195" s="4" t="inlineStr">
        <is>
          <t>Pendente</t>
        </is>
      </c>
      <c r="F195" s="4" t="inlineStr"/>
      <c r="G195" s="2">
        <f>IF(AND(E195="Concluída",LEN(TRIM(F195))&gt;0),1,0)</f>
        <v/>
      </c>
      <c r="H195" s="4" t="inlineStr"/>
    </row>
    <row r="196" ht="54" customHeight="1">
      <c r="A196" s="2" t="inlineStr">
        <is>
          <t>E020</t>
        </is>
      </c>
      <c r="B196" s="2" t="inlineStr">
        <is>
          <t>E020.05</t>
        </is>
      </c>
      <c r="C196" s="2" t="inlineStr">
        <is>
          <t>Monitorar consulta de catálogo, envio de solicitação e decisão de aprovação.</t>
        </is>
      </c>
      <c r="D196" s="2" t="inlineStr">
        <is>
          <t>Infraestrutura e Operação</t>
        </is>
      </c>
      <c r="E196" s="4" t="inlineStr">
        <is>
          <t>Pendente</t>
        </is>
      </c>
      <c r="F196" s="4" t="inlineStr"/>
      <c r="G196" s="2">
        <f>IF(AND(E196="Concluída",LEN(TRIM(F196))&gt;0),1,0)</f>
        <v/>
      </c>
      <c r="H196" s="4" t="inlineStr"/>
    </row>
    <row r="197" ht="54" customHeight="1">
      <c r="A197" s="2" t="inlineStr">
        <is>
          <t>E020</t>
        </is>
      </c>
      <c r="B197" s="2" t="inlineStr">
        <is>
          <t>E020.06</t>
        </is>
      </c>
      <c r="C197" s="2" t="inlineStr">
        <is>
          <t>Definir responsáveis e canais operacionais para alertas aplicáveis.</t>
        </is>
      </c>
      <c r="D197" s="2" t="inlineStr">
        <is>
          <t>Infraestrutura e Operação</t>
        </is>
      </c>
      <c r="E197" s="4" t="inlineStr">
        <is>
          <t>Pendente</t>
        </is>
      </c>
      <c r="F197" s="4" t="inlineStr"/>
      <c r="G197" s="2">
        <f>IF(AND(E197="Concluída",LEN(TRIM(F197))&gt;0),1,0)</f>
        <v/>
      </c>
      <c r="H197" s="4" t="inlineStr"/>
    </row>
    <row r="198" ht="54" customHeight="1">
      <c r="A198" s="2" t="inlineStr">
        <is>
          <t>E020</t>
        </is>
      </c>
      <c r="B198" s="2" t="inlineStr">
        <is>
          <t>E020.07</t>
        </is>
      </c>
      <c r="C198" s="2" t="inlineStr">
        <is>
          <t>Configurar backups e procedimentos compatíveis com o banco próprio.</t>
        </is>
      </c>
      <c r="D198" s="2" t="inlineStr">
        <is>
          <t>Infraestrutura e Operação</t>
        </is>
      </c>
      <c r="E198" s="4" t="inlineStr">
        <is>
          <t>Pendente</t>
        </is>
      </c>
      <c r="F198" s="4" t="inlineStr"/>
      <c r="G198" s="2">
        <f>IF(AND(E198="Concluída",LEN(TRIM(F198))&gt;0),1,0)</f>
        <v/>
      </c>
      <c r="H198" s="4" t="inlineStr"/>
    </row>
    <row r="199" ht="54" customHeight="1">
      <c r="A199" s="2" t="inlineStr">
        <is>
          <t>E020</t>
        </is>
      </c>
      <c r="B199" s="2" t="inlineStr">
        <is>
          <t>E020.08</t>
        </is>
      </c>
      <c r="C199" s="2" t="inlineStr">
        <is>
          <t>Ensaiar recuperação em ambiente segregado com evidência de resultado.</t>
        </is>
      </c>
      <c r="D199" s="2" t="inlineStr">
        <is>
          <t>Infraestrutura e Operação</t>
        </is>
      </c>
      <c r="E199" s="4" t="inlineStr">
        <is>
          <t>Pendente</t>
        </is>
      </c>
      <c r="F199" s="4" t="inlineStr"/>
      <c r="G199" s="2">
        <f>IF(AND(E199="Concluída",LEN(TRIM(F199))&gt;0),1,0)</f>
        <v/>
      </c>
      <c r="H199" s="4" t="inlineStr"/>
    </row>
    <row r="200" ht="54" customHeight="1">
      <c r="A200" s="2" t="inlineStr">
        <is>
          <t>E020</t>
        </is>
      </c>
      <c r="B200" s="2" t="inlineStr">
        <is>
          <t>E020.09</t>
        </is>
      </c>
      <c r="C200" s="2" t="inlineStr">
        <is>
          <t>Documentar rollback de aplicação e compatibilidade de schema.</t>
        </is>
      </c>
      <c r="D200" s="2" t="inlineStr">
        <is>
          <t>Infraestrutura e Operação</t>
        </is>
      </c>
      <c r="E200" s="4" t="inlineStr">
        <is>
          <t>Pendente</t>
        </is>
      </c>
      <c r="F200" s="4" t="inlineStr"/>
      <c r="G200" s="2">
        <f>IF(AND(E200="Concluída",LEN(TRIM(F200))&gt;0),1,0)</f>
        <v/>
      </c>
      <c r="H200" s="4" t="inlineStr"/>
    </row>
    <row r="201" ht="54" customHeight="1">
      <c r="A201" s="2" t="inlineStr">
        <is>
          <t>E020</t>
        </is>
      </c>
      <c r="B201" s="2" t="inlineStr">
        <is>
          <t>E020.10</t>
        </is>
      </c>
      <c r="C201" s="2" t="inlineStr">
        <is>
          <t>Executar incidente controlado e comprovar alerta, diagnóstico e recuperação.</t>
        </is>
      </c>
      <c r="D201" s="2" t="inlineStr">
        <is>
          <t>Infraestrutura e Operação</t>
        </is>
      </c>
      <c r="E201" s="4" t="inlineStr">
        <is>
          <t>Pendente</t>
        </is>
      </c>
      <c r="F201" s="4" t="inlineStr"/>
      <c r="G201" s="2">
        <f>IF(AND(E201="Concluída",LEN(TRIM(F201))&gt;0),1,0)</f>
        <v/>
      </c>
      <c r="H201" s="4" t="inlineStr"/>
    </row>
    <row r="202" ht="54" customHeight="1">
      <c r="A202" s="2" t="inlineStr">
        <is>
          <t>E021</t>
        </is>
      </c>
      <c r="B202" s="2" t="inlineStr">
        <is>
          <t>E021.01</t>
        </is>
      </c>
      <c r="C202" s="2" t="inlineStr">
        <is>
          <t>Inventariar destinos atuais e identificar duplicatas de navegação.</t>
        </is>
      </c>
      <c r="D202" s="2" t="inlineStr">
        <is>
          <t>UX e Conteúdo</t>
        </is>
      </c>
      <c r="E202" s="4" t="inlineStr">
        <is>
          <t>Pendente</t>
        </is>
      </c>
      <c r="F202" s="4" t="inlineStr"/>
      <c r="G202" s="2">
        <f>IF(AND(E202="Concluída",LEN(TRIM(F202))&gt;0),1,0)</f>
        <v/>
      </c>
      <c r="H202" s="4" t="inlineStr"/>
    </row>
    <row r="203" ht="54" customHeight="1">
      <c r="A203" s="2" t="inlineStr">
        <is>
          <t>E021</t>
        </is>
      </c>
      <c r="B203" s="2" t="inlineStr">
        <is>
          <t>E021.02</t>
        </is>
      </c>
      <c r="C203" s="2" t="inlineStr">
        <is>
          <t>Agrupar conteúdos por necessidade do comprador e do aprovador.</t>
        </is>
      </c>
      <c r="D203" s="2" t="inlineStr">
        <is>
          <t>UX e Conteúdo</t>
        </is>
      </c>
      <c r="E203" s="4" t="inlineStr">
        <is>
          <t>Pendente</t>
        </is>
      </c>
      <c r="F203" s="4" t="inlineStr"/>
      <c r="G203" s="2">
        <f>IF(AND(E203="Concluída",LEN(TRIM(F203))&gt;0),1,0)</f>
        <v/>
      </c>
      <c r="H203" s="4" t="inlineStr"/>
    </row>
    <row r="204" ht="54" customHeight="1">
      <c r="A204" s="2" t="inlineStr">
        <is>
          <t>E021</t>
        </is>
      </c>
      <c r="B204" s="2" t="inlineStr">
        <is>
          <t>E021.03</t>
        </is>
      </c>
      <c r="C204" s="2" t="inlineStr">
        <is>
          <t>Propor rótulos para catálogo, campanhas, pedidos, verbas e suporte.</t>
        </is>
      </c>
      <c r="D204" s="2" t="inlineStr">
        <is>
          <t>UX e Conteúdo</t>
        </is>
      </c>
      <c r="E204" s="4" t="inlineStr">
        <is>
          <t>Pendente</t>
        </is>
      </c>
      <c r="F204" s="4" t="inlineStr"/>
      <c r="G204" s="2">
        <f>IF(AND(E204="Concluída",LEN(TRIM(F204))&gt;0),1,0)</f>
        <v/>
      </c>
      <c r="H204" s="4" t="inlineStr"/>
    </row>
    <row r="205" ht="54" customHeight="1">
      <c r="A205" s="2" t="inlineStr">
        <is>
          <t>E021</t>
        </is>
      </c>
      <c r="B205" s="2" t="inlineStr">
        <is>
          <t>E021.04</t>
        </is>
      </c>
      <c r="C205" s="2" t="inlineStr">
        <is>
          <t>Separar administração técnica da navegação diária das cooperativas.</t>
        </is>
      </c>
      <c r="D205" s="2" t="inlineStr">
        <is>
          <t>UX e Conteúdo</t>
        </is>
      </c>
      <c r="E205" s="4" t="inlineStr">
        <is>
          <t>Pendente</t>
        </is>
      </c>
      <c r="F205" s="4" t="inlineStr"/>
      <c r="G205" s="2">
        <f>IF(AND(E205="Concluída",LEN(TRIM(F205))&gt;0),1,0)</f>
        <v/>
      </c>
      <c r="H205" s="4" t="inlineStr"/>
    </row>
    <row r="206" ht="54" customHeight="1">
      <c r="A206" s="2" t="inlineStr">
        <is>
          <t>E021</t>
        </is>
      </c>
      <c r="B206" s="2" t="inlineStr">
        <is>
          <t>E021.05</t>
        </is>
      </c>
      <c r="C206" s="2" t="inlineStr">
        <is>
          <t>Definir destinos de início adequados a cada papel funcional.</t>
        </is>
      </c>
      <c r="D206" s="2" t="inlineStr">
        <is>
          <t>UX e Conteúdo</t>
        </is>
      </c>
      <c r="E206" s="4" t="inlineStr">
        <is>
          <t>Pendente</t>
        </is>
      </c>
      <c r="F206" s="4" t="inlineStr"/>
      <c r="G206" s="2">
        <f>IF(AND(E206="Concluída",LEN(TRIM(F206))&gt;0),1,0)</f>
        <v/>
      </c>
      <c r="H206" s="4" t="inlineStr"/>
    </row>
    <row r="207" ht="54" customHeight="1">
      <c r="A207" s="2" t="inlineStr">
        <is>
          <t>E021</t>
        </is>
      </c>
      <c r="B207" s="2" t="inlineStr">
        <is>
          <t>E021.06</t>
        </is>
      </c>
      <c r="C207" s="2" t="inlineStr">
        <is>
          <t>Desenhar hierarquia de páginas com localização reconhecível.</t>
        </is>
      </c>
      <c r="D207" s="2" t="inlineStr">
        <is>
          <t>UX e Conteúdo</t>
        </is>
      </c>
      <c r="E207" s="4" t="inlineStr">
        <is>
          <t>Pendente</t>
        </is>
      </c>
      <c r="F207" s="4" t="inlineStr"/>
      <c r="G207" s="2">
        <f>IF(AND(E207="Concluída",LEN(TRIM(F207))&gt;0),1,0)</f>
        <v/>
      </c>
      <c r="H207" s="4" t="inlineStr"/>
    </row>
    <row r="208" ht="54" customHeight="1">
      <c r="A208" s="2" t="inlineStr">
        <is>
          <t>E021</t>
        </is>
      </c>
      <c r="B208" s="2" t="inlineStr">
        <is>
          <t>E021.07</t>
        </is>
      </c>
      <c r="C208" s="2" t="inlineStr">
        <is>
          <t>Planejar atalhos úteis sem duplicar ações contraditórias.</t>
        </is>
      </c>
      <c r="D208" s="2" t="inlineStr">
        <is>
          <t>UX e Conteúdo</t>
        </is>
      </c>
      <c r="E208" s="4" t="inlineStr">
        <is>
          <t>Pendente</t>
        </is>
      </c>
      <c r="F208" s="4" t="inlineStr"/>
      <c r="G208" s="2">
        <f>IF(AND(E208="Concluída",LEN(TRIM(F208))&gt;0),1,0)</f>
        <v/>
      </c>
      <c r="H208" s="4" t="inlineStr"/>
    </row>
    <row r="209" ht="54" customHeight="1">
      <c r="A209" s="2" t="inlineStr">
        <is>
          <t>E021</t>
        </is>
      </c>
      <c r="B209" s="2" t="inlineStr">
        <is>
          <t>E021.08</t>
        </is>
      </c>
      <c r="C209" s="2" t="inlineStr">
        <is>
          <t>Testar encontrabilidade com tarefas e estrutura textual simples.</t>
        </is>
      </c>
      <c r="D209" s="2" t="inlineStr">
        <is>
          <t>UX e Conteúdo</t>
        </is>
      </c>
      <c r="E209" s="4" t="inlineStr">
        <is>
          <t>Pendente</t>
        </is>
      </c>
      <c r="F209" s="4" t="inlineStr"/>
      <c r="G209" s="2">
        <f>IF(AND(E209="Concluída",LEN(TRIM(F209))&gt;0),1,0)</f>
        <v/>
      </c>
      <c r="H209" s="4" t="inlineStr"/>
    </row>
    <row r="210" ht="54" customHeight="1">
      <c r="A210" s="2" t="inlineStr">
        <is>
          <t>E021</t>
        </is>
      </c>
      <c r="B210" s="2" t="inlineStr">
        <is>
          <t>E021.09</t>
        </is>
      </c>
      <c r="C210" s="2" t="inlineStr">
        <is>
          <t>Revisar rótulos que induzem interpretação comercial incorreta.</t>
        </is>
      </c>
      <c r="D210" s="2" t="inlineStr">
        <is>
          <t>UX e Conteúdo</t>
        </is>
      </c>
      <c r="E210" s="4" t="inlineStr">
        <is>
          <t>Pendente</t>
        </is>
      </c>
      <c r="F210" s="4" t="inlineStr"/>
      <c r="G210" s="2">
        <f>IF(AND(E210="Concluída",LEN(TRIM(F210))&gt;0),1,0)</f>
        <v/>
      </c>
      <c r="H210" s="4" t="inlineStr"/>
    </row>
    <row r="211" ht="54" customHeight="1">
      <c r="A211" s="2" t="inlineStr">
        <is>
          <t>E021</t>
        </is>
      </c>
      <c r="B211" s="2" t="inlineStr">
        <is>
          <t>E021.10</t>
        </is>
      </c>
      <c r="C211" s="2" t="inlineStr">
        <is>
          <t>Publicar o mapa validado com responsáveis por cada área de conteúdo.</t>
        </is>
      </c>
      <c r="D211" s="2" t="inlineStr">
        <is>
          <t>UX e Conteúdo</t>
        </is>
      </c>
      <c r="E211" s="4" t="inlineStr">
        <is>
          <t>Pendente</t>
        </is>
      </c>
      <c r="F211" s="4" t="inlineStr"/>
      <c r="G211" s="2">
        <f>IF(AND(E211="Concluída",LEN(TRIM(F211))&gt;0),1,0)</f>
        <v/>
      </c>
      <c r="H211" s="4" t="inlineStr"/>
    </row>
    <row r="212" ht="54" customHeight="1">
      <c r="A212" s="2" t="inlineStr">
        <is>
          <t>E022</t>
        </is>
      </c>
      <c r="B212" s="2" t="inlineStr">
        <is>
          <t>E022.01</t>
        </is>
      </c>
      <c r="C212" s="2" t="inlineStr">
        <is>
          <t>Inspecionar categorias e atributos disponíveis na amostra do catálogo.</t>
        </is>
      </c>
      <c r="D212" s="2" t="inlineStr">
        <is>
          <t>UX, Comercial e Dados</t>
        </is>
      </c>
      <c r="E212" s="4" t="inlineStr">
        <is>
          <t>Pendente</t>
        </is>
      </c>
      <c r="F212" s="4" t="inlineStr"/>
      <c r="G212" s="2">
        <f>IF(AND(E212="Concluída",LEN(TRIM(F212))&gt;0),1,0)</f>
        <v/>
      </c>
      <c r="H212" s="4" t="inlineStr"/>
    </row>
    <row r="213" ht="54" customHeight="1">
      <c r="A213" s="2" t="inlineStr">
        <is>
          <t>E022</t>
        </is>
      </c>
      <c r="B213" s="2" t="inlineStr">
        <is>
          <t>E022.02</t>
        </is>
      </c>
      <c r="C213" s="2" t="inlineStr">
        <is>
          <t>Separar categoria de produto, finalidade, material e técnica de impressão.</t>
        </is>
      </c>
      <c r="D213" s="2" t="inlineStr">
        <is>
          <t>UX, Comercial e Dados</t>
        </is>
      </c>
      <c r="E213" s="4" t="inlineStr">
        <is>
          <t>Pendente</t>
        </is>
      </c>
      <c r="F213" s="4" t="inlineStr"/>
      <c r="G213" s="2">
        <f>IF(AND(E213="Concluída",LEN(TRIM(F213))&gt;0),1,0)</f>
        <v/>
      </c>
      <c r="H213" s="4" t="inlineStr"/>
    </row>
    <row r="214" ht="54" customHeight="1">
      <c r="A214" s="2" t="inlineStr">
        <is>
          <t>E022</t>
        </is>
      </c>
      <c r="B214" s="2" t="inlineStr">
        <is>
          <t>E022.03</t>
        </is>
      </c>
      <c r="C214" s="2" t="inlineStr">
        <is>
          <t>Mapear sinônimos usados por compradores nas sessões de pesquisa.</t>
        </is>
      </c>
      <c r="D214" s="2" t="inlineStr">
        <is>
          <t>UX, Comercial e Dados</t>
        </is>
      </c>
      <c r="E214" s="4" t="inlineStr">
        <is>
          <t>Pendente</t>
        </is>
      </c>
      <c r="F214" s="4" t="inlineStr"/>
      <c r="G214" s="2">
        <f>IF(AND(E214="Concluída",LEN(TRIM(F214))&gt;0),1,0)</f>
        <v/>
      </c>
      <c r="H214" s="4" t="inlineStr"/>
    </row>
    <row r="215" ht="54" customHeight="1">
      <c r="A215" s="2" t="inlineStr">
        <is>
          <t>E022</t>
        </is>
      </c>
      <c r="B215" s="2" t="inlineStr">
        <is>
          <t>E022.04</t>
        </is>
      </c>
      <c r="C215" s="2" t="inlineStr">
        <is>
          <t>Definir unidades e vocabulário consistentes para dimensões e capacidade.</t>
        </is>
      </c>
      <c r="D215" s="2" t="inlineStr">
        <is>
          <t>UX, Comercial e Dados</t>
        </is>
      </c>
      <c r="E215" s="4" t="inlineStr">
        <is>
          <t>Pendente</t>
        </is>
      </c>
      <c r="F215" s="4" t="inlineStr"/>
      <c r="G215" s="2">
        <f>IF(AND(E215="Concluída",LEN(TRIM(F215))&gt;0),1,0)</f>
        <v/>
      </c>
      <c r="H215" s="4" t="inlineStr"/>
    </row>
    <row r="216" ht="54" customHeight="1">
      <c r="A216" s="2" t="inlineStr">
        <is>
          <t>E022</t>
        </is>
      </c>
      <c r="B216" s="2" t="inlineStr">
        <is>
          <t>E022.05</t>
        </is>
      </c>
      <c r="C216" s="2" t="inlineStr">
        <is>
          <t>Identificar atributos decisivos por família de produto.</t>
        </is>
      </c>
      <c r="D216" s="2" t="inlineStr">
        <is>
          <t>UX, Comercial e Dados</t>
        </is>
      </c>
      <c r="E216" s="4" t="inlineStr">
        <is>
          <t>Pendente</t>
        </is>
      </c>
      <c r="F216" s="4" t="inlineStr"/>
      <c r="G216" s="2">
        <f>IF(AND(E216="Concluída",LEN(TRIM(F216))&gt;0),1,0)</f>
        <v/>
      </c>
      <c r="H216" s="4" t="inlineStr"/>
    </row>
    <row r="217" ht="54" customHeight="1">
      <c r="A217" s="2" t="inlineStr">
        <is>
          <t>E022</t>
        </is>
      </c>
      <c r="B217" s="2" t="inlineStr">
        <is>
          <t>E022.06</t>
        </is>
      </c>
      <c r="C217" s="2" t="inlineStr">
        <is>
          <t>Tratar valores vazios, conflitantes e variantes sem classificação.</t>
        </is>
      </c>
      <c r="D217" s="2" t="inlineStr">
        <is>
          <t>UX, Comercial e Dados</t>
        </is>
      </c>
      <c r="E217" s="4" t="inlineStr">
        <is>
          <t>Pendente</t>
        </is>
      </c>
      <c r="F217" s="4" t="inlineStr"/>
      <c r="G217" s="2">
        <f>IF(AND(E217="Concluída",LEN(TRIM(F217))&gt;0),1,0)</f>
        <v/>
      </c>
      <c r="H217" s="4" t="inlineStr"/>
    </row>
    <row r="218" ht="54" customHeight="1">
      <c r="A218" s="2" t="inlineStr">
        <is>
          <t>E022</t>
        </is>
      </c>
      <c r="B218" s="2" t="inlineStr">
        <is>
          <t>E022.07</t>
        </is>
      </c>
      <c r="C218" s="2" t="inlineStr">
        <is>
          <t>Criar curadoria por assembleia, evento, relacionamento e uso interno.</t>
        </is>
      </c>
      <c r="D218" s="2" t="inlineStr">
        <is>
          <t>UX, Comercial e Dados</t>
        </is>
      </c>
      <c r="E218" s="4" t="inlineStr">
        <is>
          <t>Pendente</t>
        </is>
      </c>
      <c r="F218" s="4" t="inlineStr"/>
      <c r="G218" s="2">
        <f>IF(AND(E218="Concluída",LEN(TRIM(F218))&gt;0),1,0)</f>
        <v/>
      </c>
      <c r="H218" s="4" t="inlineStr"/>
    </row>
    <row r="219" ht="54" customHeight="1">
      <c r="A219" s="2" t="inlineStr">
        <is>
          <t>E022</t>
        </is>
      </c>
      <c r="B219" s="2" t="inlineStr">
        <is>
          <t>E022.08</t>
        </is>
      </c>
      <c r="C219" s="2" t="inlineStr">
        <is>
          <t>Exigir evidência para selos ambientais ou afirmações de certificação.</t>
        </is>
      </c>
      <c r="D219" s="2" t="inlineStr">
        <is>
          <t>UX, Comercial e Dados</t>
        </is>
      </c>
      <c r="E219" s="4" t="inlineStr">
        <is>
          <t>Pendente</t>
        </is>
      </c>
      <c r="F219" s="4" t="inlineStr"/>
      <c r="G219" s="2">
        <f>IF(AND(E219="Concluída",LEN(TRIM(F219))&gt;0),1,0)</f>
        <v/>
      </c>
      <c r="H219" s="4" t="inlineStr"/>
    </row>
    <row r="220" ht="54" customHeight="1">
      <c r="A220" s="2" t="inlineStr">
        <is>
          <t>E022</t>
        </is>
      </c>
      <c r="B220" s="2" t="inlineStr">
        <is>
          <t>E022.09</t>
        </is>
      </c>
      <c r="C220" s="2" t="inlineStr">
        <is>
          <t>Manter classificações editoriais do portal separadas do cadastro mestre.</t>
        </is>
      </c>
      <c r="D220" s="2" t="inlineStr">
        <is>
          <t>UX, Comercial e Dados</t>
        </is>
      </c>
      <c r="E220" s="4" t="inlineStr">
        <is>
          <t>Pendente</t>
        </is>
      </c>
      <c r="F220" s="4" t="inlineStr"/>
      <c r="G220" s="2">
        <f>IF(AND(E220="Concluída",LEN(TRIM(F220))&gt;0),1,0)</f>
        <v/>
      </c>
      <c r="H220" s="4" t="inlineStr"/>
    </row>
    <row r="221" ht="54" customHeight="1">
      <c r="A221" s="2" t="inlineStr">
        <is>
          <t>E022</t>
        </is>
      </c>
      <c r="B221" s="2" t="inlineStr">
        <is>
          <t>E022.10</t>
        </is>
      </c>
      <c r="C221" s="2" t="inlineStr">
        <is>
          <t>Validar amostra de buscas e categorias com compras e marketing.</t>
        </is>
      </c>
      <c r="D221" s="2" t="inlineStr">
        <is>
          <t>UX, Comercial e Dados</t>
        </is>
      </c>
      <c r="E221" s="4" t="inlineStr">
        <is>
          <t>Pendente</t>
        </is>
      </c>
      <c r="F221" s="4" t="inlineStr"/>
      <c r="G221" s="2">
        <f>IF(AND(E221="Concluída",LEN(TRIM(F221))&gt;0),1,0)</f>
        <v/>
      </c>
      <c r="H221" s="4" t="inlineStr"/>
    </row>
    <row r="222" ht="54" customHeight="1">
      <c r="A222" s="2" t="inlineStr">
        <is>
          <t>E023</t>
        </is>
      </c>
      <c r="B222" s="2" t="inlineStr">
        <is>
          <t>E023.01</t>
        </is>
      </c>
      <c r="C222" s="2" t="inlineStr">
        <is>
          <t>Reunir consultas por código, produto, campanha e necessidade de uso.</t>
        </is>
      </c>
      <c r="D222" s="2" t="inlineStr">
        <is>
          <t>UX e Engenharia de busca</t>
        </is>
      </c>
      <c r="E222" s="4" t="inlineStr">
        <is>
          <t>Pendente</t>
        </is>
      </c>
      <c r="F222" s="4" t="inlineStr"/>
      <c r="G222" s="2">
        <f>IF(AND(E222="Concluída",LEN(TRIM(F222))&gt;0),1,0)</f>
        <v/>
      </c>
      <c r="H222" s="4" t="inlineStr"/>
    </row>
    <row r="223" ht="54" customHeight="1">
      <c r="A223" s="2" t="inlineStr">
        <is>
          <t>E023</t>
        </is>
      </c>
      <c r="B223" s="2" t="inlineStr">
        <is>
          <t>E023.02</t>
        </is>
      </c>
      <c r="C223" s="2" t="inlineStr">
        <is>
          <t>Definir precedência de correspondência exata de códigos estáveis.</t>
        </is>
      </c>
      <c r="D223" s="2" t="inlineStr">
        <is>
          <t>UX e Engenharia de busca</t>
        </is>
      </c>
      <c r="E223" s="4" t="inlineStr">
        <is>
          <t>Pendente</t>
        </is>
      </c>
      <c r="F223" s="4" t="inlineStr"/>
      <c r="G223" s="2">
        <f>IF(AND(E223="Concluída",LEN(TRIM(F223))&gt;0),1,0)</f>
        <v/>
      </c>
      <c r="H223" s="4" t="inlineStr"/>
    </row>
    <row r="224" ht="54" customHeight="1">
      <c r="A224" s="2" t="inlineStr">
        <is>
          <t>E023</t>
        </is>
      </c>
      <c r="B224" s="2" t="inlineStr">
        <is>
          <t>E023.03</t>
        </is>
      </c>
      <c r="C224" s="2" t="inlineStr">
        <is>
          <t>Tratar acentos, variações de escrita e sinônimos relevantes.</t>
        </is>
      </c>
      <c r="D224" s="2" t="inlineStr">
        <is>
          <t>UX e Engenharia de busca</t>
        </is>
      </c>
      <c r="E224" s="4" t="inlineStr">
        <is>
          <t>Pendente</t>
        </is>
      </c>
      <c r="F224" s="4" t="inlineStr"/>
      <c r="G224" s="2">
        <f>IF(AND(E224="Concluída",LEN(TRIM(F224))&gt;0),1,0)</f>
        <v/>
      </c>
      <c r="H224" s="4" t="inlineStr"/>
    </row>
    <row r="225" ht="54" customHeight="1">
      <c r="A225" s="2" t="inlineStr">
        <is>
          <t>E023</t>
        </is>
      </c>
      <c r="B225" s="2" t="inlineStr">
        <is>
          <t>E023.04</t>
        </is>
      </c>
      <c r="C225" s="2" t="inlineStr">
        <is>
          <t>Definir sugestões que não revelem histórico de outra cooperativa.</t>
        </is>
      </c>
      <c r="D225" s="2" t="inlineStr">
        <is>
          <t>UX e Engenharia de busca</t>
        </is>
      </c>
      <c r="E225" s="4" t="inlineStr">
        <is>
          <t>Pendente</t>
        </is>
      </c>
      <c r="F225" s="4" t="inlineStr"/>
      <c r="G225" s="2">
        <f>IF(AND(E225="Concluída",LEN(TRIM(F225))&gt;0),1,0)</f>
        <v/>
      </c>
      <c r="H225" s="4" t="inlineStr"/>
    </row>
    <row r="226" ht="54" customHeight="1">
      <c r="A226" s="2" t="inlineStr">
        <is>
          <t>E023</t>
        </is>
      </c>
      <c r="B226" s="2" t="inlineStr">
        <is>
          <t>E023.05</t>
        </is>
      </c>
      <c r="C226" s="2" t="inlineStr">
        <is>
          <t>Separar resultado orgânico de curadoria comercial identificada.</t>
        </is>
      </c>
      <c r="D226" s="2" t="inlineStr">
        <is>
          <t>UX e Engenharia de busca</t>
        </is>
      </c>
      <c r="E226" s="4" t="inlineStr">
        <is>
          <t>Pendente</t>
        </is>
      </c>
      <c r="F226" s="4" t="inlineStr"/>
      <c r="G226" s="2">
        <f>IF(AND(E226="Concluída",LEN(TRIM(F226))&gt;0),1,0)</f>
        <v/>
      </c>
      <c r="H226" s="4" t="inlineStr"/>
    </row>
    <row r="227" ht="54" customHeight="1">
      <c r="A227" s="2" t="inlineStr">
        <is>
          <t>E023</t>
        </is>
      </c>
      <c r="B227" s="2" t="inlineStr">
        <is>
          <t>E023.06</t>
        </is>
      </c>
      <c r="C227" s="2" t="inlineStr">
        <is>
          <t>Planejar tratamento de erro ortográfico sem substituir intenção silenciosamente.</t>
        </is>
      </c>
      <c r="D227" s="2" t="inlineStr">
        <is>
          <t>UX e Engenharia de busca</t>
        </is>
      </c>
      <c r="E227" s="4" t="inlineStr">
        <is>
          <t>Pendente</t>
        </is>
      </c>
      <c r="F227" s="4" t="inlineStr"/>
      <c r="G227" s="2">
        <f>IF(AND(E227="Concluída",LEN(TRIM(F227))&gt;0),1,0)</f>
        <v/>
      </c>
      <c r="H227" s="4" t="inlineStr"/>
    </row>
    <row r="228" ht="54" customHeight="1">
      <c r="A228" s="2" t="inlineStr">
        <is>
          <t>E023</t>
        </is>
      </c>
      <c r="B228" s="2" t="inlineStr">
        <is>
          <t>E023.07</t>
        </is>
      </c>
      <c r="C228" s="2" t="inlineStr">
        <is>
          <t>Definir estados de carregamento, nenhuma correspondência e serviço indisponível.</t>
        </is>
      </c>
      <c r="D228" s="2" t="inlineStr">
        <is>
          <t>UX e Engenharia de busca</t>
        </is>
      </c>
      <c r="E228" s="4" t="inlineStr">
        <is>
          <t>Pendente</t>
        </is>
      </c>
      <c r="F228" s="4" t="inlineStr"/>
      <c r="G228" s="2">
        <f>IF(AND(E228="Concluída",LEN(TRIM(F228))&gt;0),1,0)</f>
        <v/>
      </c>
      <c r="H228" s="4" t="inlineStr"/>
    </row>
    <row r="229" ht="54" customHeight="1">
      <c r="A229" s="2" t="inlineStr">
        <is>
          <t>E023</t>
        </is>
      </c>
      <c r="B229" s="2" t="inlineStr">
        <is>
          <t>E023.08</t>
        </is>
      </c>
      <c r="C229" s="2" t="inlineStr">
        <is>
          <t>Especificar como resultados respeitam filtros e contexto ativo.</t>
        </is>
      </c>
      <c r="D229" s="2" t="inlineStr">
        <is>
          <t>UX e Engenharia de busca</t>
        </is>
      </c>
      <c r="E229" s="4" t="inlineStr">
        <is>
          <t>Pendente</t>
        </is>
      </c>
      <c r="F229" s="4" t="inlineStr"/>
      <c r="G229" s="2">
        <f>IF(AND(E229="Concluída",LEN(TRIM(F229))&gt;0),1,0)</f>
        <v/>
      </c>
      <c r="H229" s="4" t="inlineStr"/>
    </row>
    <row r="230" ht="54" customHeight="1">
      <c r="A230" s="2" t="inlineStr">
        <is>
          <t>E023</t>
        </is>
      </c>
      <c r="B230" s="2" t="inlineStr">
        <is>
          <t>E023.09</t>
        </is>
      </c>
      <c r="C230" s="2" t="inlineStr">
        <is>
          <t>Criar conjunto de consultas de avaliação com resultado esperado justificável.</t>
        </is>
      </c>
      <c r="D230" s="2" t="inlineStr">
        <is>
          <t>UX e Engenharia de busca</t>
        </is>
      </c>
      <c r="E230" s="4" t="inlineStr">
        <is>
          <t>Pendente</t>
        </is>
      </c>
      <c r="F230" s="4" t="inlineStr"/>
      <c r="G230" s="2">
        <f>IF(AND(E230="Concluída",LEN(TRIM(F230))&gt;0),1,0)</f>
        <v/>
      </c>
      <c r="H230" s="4" t="inlineStr"/>
    </row>
    <row r="231" ht="54" customHeight="1">
      <c r="A231" s="2" t="inlineStr">
        <is>
          <t>E023</t>
        </is>
      </c>
      <c r="B231" s="2" t="inlineStr">
        <is>
          <t>E023.10</t>
        </is>
      </c>
      <c r="C231" s="2" t="inlineStr">
        <is>
          <t>Revisar relevância e explicar limites antes de incluir busca semântica adicional.</t>
        </is>
      </c>
      <c r="D231" s="2" t="inlineStr">
        <is>
          <t>UX e Engenharia de busca</t>
        </is>
      </c>
      <c r="E231" s="4" t="inlineStr">
        <is>
          <t>Pendente</t>
        </is>
      </c>
      <c r="F231" s="4" t="inlineStr"/>
      <c r="G231" s="2">
        <f>IF(AND(E231="Concluída",LEN(TRIM(F231))&gt;0),1,0)</f>
        <v/>
      </c>
      <c r="H231" s="4" t="inlineStr"/>
    </row>
    <row r="232" ht="54" customHeight="1">
      <c r="A232" s="2" t="inlineStr">
        <is>
          <t>E024</t>
        </is>
      </c>
      <c r="B232" s="2" t="inlineStr">
        <is>
          <t>E024.01</t>
        </is>
      </c>
      <c r="C232" s="2" t="inlineStr">
        <is>
          <t>Escolher filtros úteis por categoria com base em atributos reais.</t>
        </is>
      </c>
      <c r="D232" s="2" t="inlineStr">
        <is>
          <t>UX e Comercial</t>
        </is>
      </c>
      <c r="E232" s="4" t="inlineStr">
        <is>
          <t>Pendente</t>
        </is>
      </c>
      <c r="F232" s="4" t="inlineStr"/>
      <c r="G232" s="2">
        <f>IF(AND(E232="Concluída",LEN(TRIM(F232))&gt;0),1,0)</f>
        <v/>
      </c>
      <c r="H232" s="4" t="inlineStr"/>
    </row>
    <row r="233" ht="54" customHeight="1">
      <c r="A233" s="2" t="inlineStr">
        <is>
          <t>E024</t>
        </is>
      </c>
      <c r="B233" s="2" t="inlineStr">
        <is>
          <t>E024.02</t>
        </is>
      </c>
      <c r="C233" s="2" t="inlineStr">
        <is>
          <t>Separar preço unitário de custo estimado entregue na linguagem do filtro.</t>
        </is>
      </c>
      <c r="D233" s="2" t="inlineStr">
        <is>
          <t>UX e Comercial</t>
        </is>
      </c>
      <c r="E233" s="4" t="inlineStr">
        <is>
          <t>Pendente</t>
        </is>
      </c>
      <c r="F233" s="4" t="inlineStr"/>
      <c r="G233" s="2">
        <f>IF(AND(E233="Concluída",LEN(TRIM(F233))&gt;0),1,0)</f>
        <v/>
      </c>
      <c r="H233" s="4" t="inlineStr"/>
    </row>
    <row r="234" ht="54" customHeight="1">
      <c r="A234" s="2" t="inlineStr">
        <is>
          <t>E024</t>
        </is>
      </c>
      <c r="B234" s="2" t="inlineStr">
        <is>
          <t>E024.03</t>
        </is>
      </c>
      <c r="C234" s="2" t="inlineStr">
        <is>
          <t>Modelar quantidade mínima, múltiplo e técnica de personalização.</t>
        </is>
      </c>
      <c r="D234" s="2" t="inlineStr">
        <is>
          <t>UX e Comercial</t>
        </is>
      </c>
      <c r="E234" s="4" t="inlineStr">
        <is>
          <t>Pendente</t>
        </is>
      </c>
      <c r="F234" s="4" t="inlineStr"/>
      <c r="G234" s="2">
        <f>IF(AND(E234="Concluída",LEN(TRIM(F234))&gt;0),1,0)</f>
        <v/>
      </c>
      <c r="H234" s="4" t="inlineStr"/>
    </row>
    <row r="235" ht="54" customHeight="1">
      <c r="A235" s="2" t="inlineStr">
        <is>
          <t>E024</t>
        </is>
      </c>
      <c r="B235" s="2" t="inlineStr">
        <is>
          <t>E024.04</t>
        </is>
      </c>
      <c r="C235" s="2" t="inlineStr">
        <is>
          <t>Definir tratamento honesto da disponibilidade ainda não reconfirmada.</t>
        </is>
      </c>
      <c r="D235" s="2" t="inlineStr">
        <is>
          <t>UX e Comercial</t>
        </is>
      </c>
      <c r="E235" s="4" t="inlineStr">
        <is>
          <t>Pendente</t>
        </is>
      </c>
      <c r="F235" s="4" t="inlineStr"/>
      <c r="G235" s="2">
        <f>IF(AND(E235="Concluída",LEN(TRIM(F235))&gt;0),1,0)</f>
        <v/>
      </c>
      <c r="H235" s="4" t="inlineStr"/>
    </row>
    <row r="236" ht="54" customHeight="1">
      <c r="A236" s="2" t="inlineStr">
        <is>
          <t>E024</t>
        </is>
      </c>
      <c r="B236" s="2" t="inlineStr">
        <is>
          <t>E024.05</t>
        </is>
      </c>
      <c r="C236" s="2" t="inlineStr">
        <is>
          <t>Projetar seleção de múltiplas opções e combinação entre grupos.</t>
        </is>
      </c>
      <c r="D236" s="2" t="inlineStr">
        <is>
          <t>UX e Comercial</t>
        </is>
      </c>
      <c r="E236" s="4" t="inlineStr">
        <is>
          <t>Pendente</t>
        </is>
      </c>
      <c r="F236" s="4" t="inlineStr"/>
      <c r="G236" s="2">
        <f>IF(AND(E236="Concluída",LEN(TRIM(F236))&gt;0),1,0)</f>
        <v/>
      </c>
      <c r="H236" s="4" t="inlineStr"/>
    </row>
    <row r="237" ht="54" customHeight="1">
      <c r="A237" s="2" t="inlineStr">
        <is>
          <t>E024</t>
        </is>
      </c>
      <c r="B237" s="2" t="inlineStr">
        <is>
          <t>E024.06</t>
        </is>
      </c>
      <c r="C237" s="2" t="inlineStr">
        <is>
          <t>Mostrar contagens somente quando a consulta as sustentar.</t>
        </is>
      </c>
      <c r="D237" s="2" t="inlineStr">
        <is>
          <t>UX e Comercial</t>
        </is>
      </c>
      <c r="E237" s="4" t="inlineStr">
        <is>
          <t>Pendente</t>
        </is>
      </c>
      <c r="F237" s="4" t="inlineStr"/>
      <c r="G237" s="2">
        <f>IF(AND(E237="Concluída",LEN(TRIM(F237))&gt;0),1,0)</f>
        <v/>
      </c>
      <c r="H237" s="4" t="inlineStr"/>
    </row>
    <row r="238" ht="54" customHeight="1">
      <c r="A238" s="2" t="inlineStr">
        <is>
          <t>E024</t>
        </is>
      </c>
      <c r="B238" s="2" t="inlineStr">
        <is>
          <t>E024.07</t>
        </is>
      </c>
      <c r="C238" s="2" t="inlineStr">
        <is>
          <t>Definir limpeza individual e completa dos filtros ativos.</t>
        </is>
      </c>
      <c r="D238" s="2" t="inlineStr">
        <is>
          <t>UX e Comercial</t>
        </is>
      </c>
      <c r="E238" s="4" t="inlineStr">
        <is>
          <t>Pendente</t>
        </is>
      </c>
      <c r="F238" s="4" t="inlineStr"/>
      <c r="G238" s="2">
        <f>IF(AND(E238="Concluída",LEN(TRIM(F238))&gt;0),1,0)</f>
        <v/>
      </c>
      <c r="H238" s="4" t="inlineStr"/>
    </row>
    <row r="239" ht="54" customHeight="1">
      <c r="A239" s="2" t="inlineStr">
        <is>
          <t>E024</t>
        </is>
      </c>
      <c r="B239" s="2" t="inlineStr">
        <is>
          <t>E024.08</t>
        </is>
      </c>
      <c r="C239" s="2" t="inlineStr">
        <is>
          <t>Especificar ordenações com significado e desempate previsível.</t>
        </is>
      </c>
      <c r="D239" s="2" t="inlineStr">
        <is>
          <t>UX e Comercial</t>
        </is>
      </c>
      <c r="E239" s="4" t="inlineStr">
        <is>
          <t>Pendente</t>
        </is>
      </c>
      <c r="F239" s="4" t="inlineStr"/>
      <c r="G239" s="2">
        <f>IF(AND(E239="Concluída",LEN(TRIM(F239))&gt;0),1,0)</f>
        <v/>
      </c>
      <c r="H239" s="4" t="inlineStr"/>
    </row>
    <row r="240" ht="54" customHeight="1">
      <c r="A240" s="2" t="inlineStr">
        <is>
          <t>E024</t>
        </is>
      </c>
      <c r="B240" s="2" t="inlineStr">
        <is>
          <t>E024.09</t>
        </is>
      </c>
      <c r="C240" s="2" t="inlineStr">
        <is>
          <t>Preservar critérios ao abrir produto e retornar à listagem.</t>
        </is>
      </c>
      <c r="D240" s="2" t="inlineStr">
        <is>
          <t>UX e Comercial</t>
        </is>
      </c>
      <c r="E240" s="4" t="inlineStr">
        <is>
          <t>Pendente</t>
        </is>
      </c>
      <c r="F240" s="4" t="inlineStr"/>
      <c r="G240" s="2">
        <f>IF(AND(E240="Concluída",LEN(TRIM(F240))&gt;0),1,0)</f>
        <v/>
      </c>
      <c r="H240" s="4" t="inlineStr"/>
    </row>
    <row r="241" ht="54" customHeight="1">
      <c r="A241" s="2" t="inlineStr">
        <is>
          <t>E024</t>
        </is>
      </c>
      <c r="B241" s="2" t="inlineStr">
        <is>
          <t>E024.10</t>
        </is>
      </c>
      <c r="C241" s="2" t="inlineStr">
        <is>
          <t>Validar tarefas de refinamento incluindo combinações sem resultado.</t>
        </is>
      </c>
      <c r="D241" s="2" t="inlineStr">
        <is>
          <t>UX e Comercial</t>
        </is>
      </c>
      <c r="E241" s="4" t="inlineStr">
        <is>
          <t>Pendente</t>
        </is>
      </c>
      <c r="F241" s="4" t="inlineStr"/>
      <c r="G241" s="2">
        <f>IF(AND(E241="Concluída",LEN(TRIM(F241))&gt;0),1,0)</f>
        <v/>
      </c>
      <c r="H241" s="4" t="inlineStr"/>
    </row>
    <row r="242" ht="54" customHeight="1">
      <c r="A242" s="2" t="inlineStr">
        <is>
          <t>E025</t>
        </is>
      </c>
      <c r="B242" s="2" t="inlineStr">
        <is>
          <t>E025.01</t>
        </is>
      </c>
      <c r="C242" s="2" t="inlineStr">
        <is>
          <t>Definir onde cooperativa e unidade ativa aparecem persistentemente.</t>
        </is>
      </c>
      <c r="D242" s="2" t="inlineStr">
        <is>
          <t>UX, Segurança e Frontend</t>
        </is>
      </c>
      <c r="E242" s="4" t="inlineStr">
        <is>
          <t>Pendente</t>
        </is>
      </c>
      <c r="F242" s="4" t="inlineStr"/>
      <c r="G242" s="2">
        <f>IF(AND(E242="Concluída",LEN(TRIM(F242))&gt;0),1,0)</f>
        <v/>
      </c>
      <c r="H242" s="4" t="inlineStr"/>
    </row>
    <row r="243" ht="54" customHeight="1">
      <c r="A243" s="2" t="inlineStr">
        <is>
          <t>E025</t>
        </is>
      </c>
      <c r="B243" s="2" t="inlineStr">
        <is>
          <t>E025.02</t>
        </is>
      </c>
      <c r="C243" s="2" t="inlineStr">
        <is>
          <t>Listar apenas os vínculos válidos da pessoa autenticada.</t>
        </is>
      </c>
      <c r="D243" s="2" t="inlineStr">
        <is>
          <t>UX, Segurança e Frontend</t>
        </is>
      </c>
      <c r="E243" s="4" t="inlineStr">
        <is>
          <t>Pendente</t>
        </is>
      </c>
      <c r="F243" s="4" t="inlineStr"/>
      <c r="G243" s="2">
        <f>IF(AND(E243="Concluída",LEN(TRIM(F243))&gt;0),1,0)</f>
        <v/>
      </c>
      <c r="H243" s="4" t="inlineStr"/>
    </row>
    <row r="244" ht="54" customHeight="1">
      <c r="A244" s="2" t="inlineStr">
        <is>
          <t>E025</t>
        </is>
      </c>
      <c r="B244" s="2" t="inlineStr">
        <is>
          <t>E025.03</t>
        </is>
      </c>
      <c r="C244" s="2" t="inlineStr">
        <is>
          <t>Explicar diferença entre trocar unidade e trocar papel autorizado.</t>
        </is>
      </c>
      <c r="D244" s="2" t="inlineStr">
        <is>
          <t>UX, Segurança e Frontend</t>
        </is>
      </c>
      <c r="E244" s="4" t="inlineStr">
        <is>
          <t>Pendente</t>
        </is>
      </c>
      <c r="F244" s="4" t="inlineStr"/>
      <c r="G244" s="2">
        <f>IF(AND(E244="Concluída",LEN(TRIM(F244))&gt;0),1,0)</f>
        <v/>
      </c>
      <c r="H244" s="4" t="inlineStr"/>
    </row>
    <row r="245" ht="54" customHeight="1">
      <c r="A245" s="2" t="inlineStr">
        <is>
          <t>E025</t>
        </is>
      </c>
      <c r="B245" s="2" t="inlineStr">
        <is>
          <t>E025.04</t>
        </is>
      </c>
      <c r="C245" s="2" t="inlineStr">
        <is>
          <t>Definir destino inicial após selecionar outra cooperativa.</t>
        </is>
      </c>
      <c r="D245" s="2" t="inlineStr">
        <is>
          <t>UX, Segurança e Frontend</t>
        </is>
      </c>
      <c r="E245" s="4" t="inlineStr">
        <is>
          <t>Pendente</t>
        </is>
      </c>
      <c r="F245" s="4" t="inlineStr"/>
      <c r="G245" s="2">
        <f>IF(AND(E245="Concluída",LEN(TRIM(F245))&gt;0),1,0)</f>
        <v/>
      </c>
      <c r="H245" s="4" t="inlineStr"/>
    </row>
    <row r="246" ht="54" customHeight="1">
      <c r="A246" s="2" t="inlineStr">
        <is>
          <t>E025</t>
        </is>
      </c>
      <c r="B246" s="2" t="inlineStr">
        <is>
          <t>E025.05</t>
        </is>
      </c>
      <c r="C246" s="2" t="inlineStr">
        <is>
          <t>Isolar cache, filtros privados e rascunhos por contexto.</t>
        </is>
      </c>
      <c r="D246" s="2" t="inlineStr">
        <is>
          <t>UX, Segurança e Frontend</t>
        </is>
      </c>
      <c r="E246" s="4" t="inlineStr">
        <is>
          <t>Pendente</t>
        </is>
      </c>
      <c r="F246" s="4" t="inlineStr"/>
      <c r="G246" s="2">
        <f>IF(AND(E246="Concluída",LEN(TRIM(F246))&gt;0),1,0)</f>
        <v/>
      </c>
      <c r="H246" s="4" t="inlineStr"/>
    </row>
    <row r="247" ht="54" customHeight="1">
      <c r="A247" s="2" t="inlineStr">
        <is>
          <t>E025</t>
        </is>
      </c>
      <c r="B247" s="2" t="inlineStr">
        <is>
          <t>E025.06</t>
        </is>
      </c>
      <c r="C247" s="2" t="inlineStr">
        <is>
          <t>Avisar sobre trabalho não salvo antes de uma troca incompatível.</t>
        </is>
      </c>
      <c r="D247" s="2" t="inlineStr">
        <is>
          <t>UX, Segurança e Frontend</t>
        </is>
      </c>
      <c r="E247" s="4" t="inlineStr">
        <is>
          <t>Pendente</t>
        </is>
      </c>
      <c r="F247" s="4" t="inlineStr"/>
      <c r="G247" s="2">
        <f>IF(AND(E247="Concluída",LEN(TRIM(F247))&gt;0),1,0)</f>
        <v/>
      </c>
      <c r="H247" s="4" t="inlineStr"/>
    </row>
    <row r="248" ht="54" customHeight="1">
      <c r="A248" s="2" t="inlineStr">
        <is>
          <t>E025</t>
        </is>
      </c>
      <c r="B248" s="2" t="inlineStr">
        <is>
          <t>E025.07</t>
        </is>
      </c>
      <c r="C248" s="2" t="inlineStr">
        <is>
          <t>Preservar informações seguras quando a pessoa retorna ao vínculo anterior.</t>
        </is>
      </c>
      <c r="D248" s="2" t="inlineStr">
        <is>
          <t>UX, Segurança e Frontend</t>
        </is>
      </c>
      <c r="E248" s="4" t="inlineStr">
        <is>
          <t>Pendente</t>
        </is>
      </c>
      <c r="F248" s="4" t="inlineStr"/>
      <c r="G248" s="2">
        <f>IF(AND(E248="Concluída",LEN(TRIM(F248))&gt;0),1,0)</f>
        <v/>
      </c>
      <c r="H248" s="4" t="inlineStr"/>
    </row>
    <row r="249" ht="54" customHeight="1">
      <c r="A249" s="2" t="inlineStr">
        <is>
          <t>E025</t>
        </is>
      </c>
      <c r="B249" s="2" t="inlineStr">
        <is>
          <t>E025.08</t>
        </is>
      </c>
      <c r="C249" s="2" t="inlineStr">
        <is>
          <t>Tratar vínculo revogado durante uma sessão aberta.</t>
        </is>
      </c>
      <c r="D249" s="2" t="inlineStr">
        <is>
          <t>UX, Segurança e Frontend</t>
        </is>
      </c>
      <c r="E249" s="4" t="inlineStr">
        <is>
          <t>Pendente</t>
        </is>
      </c>
      <c r="F249" s="4" t="inlineStr"/>
      <c r="G249" s="2">
        <f>IF(AND(E249="Concluída",LEN(TRIM(F249))&gt;0),1,0)</f>
        <v/>
      </c>
      <c r="H249" s="4" t="inlineStr"/>
    </row>
    <row r="250" ht="54" customHeight="1">
      <c r="A250" s="2" t="inlineStr">
        <is>
          <t>E025</t>
        </is>
      </c>
      <c r="B250" s="2" t="inlineStr">
        <is>
          <t>E025.09</t>
        </is>
      </c>
      <c r="C250" s="2" t="inlineStr">
        <is>
          <t>Testar alternância por teclado, tela móvel e nomes extensos.</t>
        </is>
      </c>
      <c r="D250" s="2" t="inlineStr">
        <is>
          <t>UX, Segurança e Frontend</t>
        </is>
      </c>
      <c r="E250" s="4" t="inlineStr">
        <is>
          <t>Pendente</t>
        </is>
      </c>
      <c r="F250" s="4" t="inlineStr"/>
      <c r="G250" s="2">
        <f>IF(AND(E250="Concluída",LEN(TRIM(F250))&gt;0),1,0)</f>
        <v/>
      </c>
      <c r="H250" s="4" t="inlineStr"/>
    </row>
    <row r="251" ht="54" customHeight="1">
      <c r="A251" s="2" t="inlineStr">
        <is>
          <t>E025</t>
        </is>
      </c>
      <c r="B251" s="2" t="inlineStr">
        <is>
          <t>E025.10</t>
        </is>
      </c>
      <c r="C251" s="2" t="inlineStr">
        <is>
          <t>Comprovar que pedidos e saldos exibidos correspondem ao contexto visível.</t>
        </is>
      </c>
      <c r="D251" s="2" t="inlineStr">
        <is>
          <t>UX, Segurança e Frontend</t>
        </is>
      </c>
      <c r="E251" s="4" t="inlineStr">
        <is>
          <t>Pendente</t>
        </is>
      </c>
      <c r="F251" s="4" t="inlineStr"/>
      <c r="G251" s="2">
        <f>IF(AND(E251="Concluída",LEN(TRIM(F251))&gt;0),1,0)</f>
        <v/>
      </c>
      <c r="H251" s="4" t="inlineStr"/>
    </row>
    <row r="252" ht="54" customHeight="1">
      <c r="A252" s="2" t="inlineStr">
        <is>
          <t>E026</t>
        </is>
      </c>
      <c r="B252" s="2" t="inlineStr">
        <is>
          <t>E026.01</t>
        </is>
      </c>
      <c r="C252" s="2" t="inlineStr">
        <is>
          <t>Definir tom profissional, direto e acolhedor em português brasileiro.</t>
        </is>
      </c>
      <c r="D252" s="2" t="inlineStr">
        <is>
          <t>Conteúdo UX e Produto</t>
        </is>
      </c>
      <c r="E252" s="4" t="inlineStr">
        <is>
          <t>Pendente</t>
        </is>
      </c>
      <c r="F252" s="4" t="inlineStr"/>
      <c r="G252" s="2">
        <f>IF(AND(E252="Concluída",LEN(TRIM(F252))&gt;0),1,0)</f>
        <v/>
      </c>
      <c r="H252" s="4" t="inlineStr"/>
    </row>
    <row r="253" ht="54" customHeight="1">
      <c r="A253" s="2" t="inlineStr">
        <is>
          <t>E026</t>
        </is>
      </c>
      <c r="B253" s="2" t="inlineStr">
        <is>
          <t>E026.02</t>
        </is>
      </c>
      <c r="C253" s="2" t="inlineStr">
        <is>
          <t>Padronizar solicitação, proposta, pedido, verba e aprovação no glossário.</t>
        </is>
      </c>
      <c r="D253" s="2" t="inlineStr">
        <is>
          <t>Conteúdo UX e Produto</t>
        </is>
      </c>
      <c r="E253" s="4" t="inlineStr">
        <is>
          <t>Pendente</t>
        </is>
      </c>
      <c r="F253" s="4" t="inlineStr"/>
      <c r="G253" s="2">
        <f>IF(AND(E253="Concluída",LEN(TRIM(F253))&gt;0),1,0)</f>
        <v/>
      </c>
      <c r="H253" s="4" t="inlineStr"/>
    </row>
    <row r="254" ht="54" customHeight="1">
      <c r="A254" s="2" t="inlineStr">
        <is>
          <t>E026</t>
        </is>
      </c>
      <c r="B254" s="2" t="inlineStr">
        <is>
          <t>E026.03</t>
        </is>
      </c>
      <c r="C254" s="2" t="inlineStr">
        <is>
          <t>Substituir termos de vendedor que confundem o comprador institucional.</t>
        </is>
      </c>
      <c r="D254" s="2" t="inlineStr">
        <is>
          <t>Conteúdo UX e Produto</t>
        </is>
      </c>
      <c r="E254" s="4" t="inlineStr">
        <is>
          <t>Pendente</t>
        </is>
      </c>
      <c r="F254" s="4" t="inlineStr"/>
      <c r="G254" s="2">
        <f>IF(AND(E254="Concluída",LEN(TRIM(F254))&gt;0),1,0)</f>
        <v/>
      </c>
      <c r="H254" s="4" t="inlineStr"/>
    </row>
    <row r="255" ht="54" customHeight="1">
      <c r="A255" s="2" t="inlineStr">
        <is>
          <t>E026</t>
        </is>
      </c>
      <c r="B255" s="2" t="inlineStr">
        <is>
          <t>E026.04</t>
        </is>
      </c>
      <c r="C255" s="2" t="inlineStr">
        <is>
          <t>Definir rótulos de ação que indiquem o resultado esperado.</t>
        </is>
      </c>
      <c r="D255" s="2" t="inlineStr">
        <is>
          <t>Conteúdo UX e Produto</t>
        </is>
      </c>
      <c r="E255" s="4" t="inlineStr">
        <is>
          <t>Pendente</t>
        </is>
      </c>
      <c r="F255" s="4" t="inlineStr"/>
      <c r="G255" s="2">
        <f>IF(AND(E255="Concluída",LEN(TRIM(F255))&gt;0),1,0)</f>
        <v/>
      </c>
      <c r="H255" s="4" t="inlineStr"/>
    </row>
    <row r="256" ht="54" customHeight="1">
      <c r="A256" s="2" t="inlineStr">
        <is>
          <t>E026</t>
        </is>
      </c>
      <c r="B256" s="2" t="inlineStr">
        <is>
          <t>E026.05</t>
        </is>
      </c>
      <c r="C256" s="2" t="inlineStr">
        <is>
          <t>Escrever instruções curtas junto ao ponto em que são necessárias.</t>
        </is>
      </c>
      <c r="D256" s="2" t="inlineStr">
        <is>
          <t>Conteúdo UX e Produto</t>
        </is>
      </c>
      <c r="E256" s="4" t="inlineStr">
        <is>
          <t>Pendente</t>
        </is>
      </c>
      <c r="F256" s="4" t="inlineStr"/>
      <c r="G256" s="2">
        <f>IF(AND(E256="Concluída",LEN(TRIM(F256))&gt;0),1,0)</f>
        <v/>
      </c>
      <c r="H256" s="4" t="inlineStr"/>
    </row>
    <row r="257" ht="54" customHeight="1">
      <c r="A257" s="2" t="inlineStr">
        <is>
          <t>E026</t>
        </is>
      </c>
      <c r="B257" s="2" t="inlineStr">
        <is>
          <t>E026.06</t>
        </is>
      </c>
      <c r="C257" s="2" t="inlineStr">
        <is>
          <t>Separar conteúdo obrigatório de ajuda complementar consultável.</t>
        </is>
      </c>
      <c r="D257" s="2" t="inlineStr">
        <is>
          <t>Conteúdo UX e Produto</t>
        </is>
      </c>
      <c r="E257" s="4" t="inlineStr">
        <is>
          <t>Pendente</t>
        </is>
      </c>
      <c r="F257" s="4" t="inlineStr"/>
      <c r="G257" s="2">
        <f>IF(AND(E257="Concluída",LEN(TRIM(F257))&gt;0),1,0)</f>
        <v/>
      </c>
      <c r="H257" s="4" t="inlineStr"/>
    </row>
    <row r="258" ht="54" customHeight="1">
      <c r="A258" s="2" t="inlineStr">
        <is>
          <t>E026</t>
        </is>
      </c>
      <c r="B258" s="2" t="inlineStr">
        <is>
          <t>E026.07</t>
        </is>
      </c>
      <c r="C258" s="2" t="inlineStr">
        <is>
          <t>Retirar números, selos e afirmações de oficialidade sem origem comprovada.</t>
        </is>
      </c>
      <c r="D258" s="2" t="inlineStr">
        <is>
          <t>Conteúdo UX e Produto</t>
        </is>
      </c>
      <c r="E258" s="4" t="inlineStr">
        <is>
          <t>Pendente</t>
        </is>
      </c>
      <c r="F258" s="4" t="inlineStr"/>
      <c r="G258" s="2">
        <f>IF(AND(E258="Concluída",LEN(TRIM(F258))&gt;0),1,0)</f>
        <v/>
      </c>
      <c r="H258" s="4" t="inlineStr"/>
    </row>
    <row r="259" ht="54" customHeight="1">
      <c r="A259" s="2" t="inlineStr">
        <is>
          <t>E026</t>
        </is>
      </c>
      <c r="B259" s="2" t="inlineStr">
        <is>
          <t>E026.08</t>
        </is>
      </c>
      <c r="C259" s="2" t="inlineStr">
        <is>
          <t>Explicar limites de preço, disponibilidade e prazo em linguagem comercial.</t>
        </is>
      </c>
      <c r="D259" s="2" t="inlineStr">
        <is>
          <t>Conteúdo UX e Produto</t>
        </is>
      </c>
      <c r="E259" s="4" t="inlineStr">
        <is>
          <t>Pendente</t>
        </is>
      </c>
      <c r="F259" s="4" t="inlineStr"/>
      <c r="G259" s="2">
        <f>IF(AND(E259="Concluída",LEN(TRIM(F259))&gt;0),1,0)</f>
        <v/>
      </c>
      <c r="H259" s="4" t="inlineStr"/>
    </row>
    <row r="260" ht="54" customHeight="1">
      <c r="A260" s="2" t="inlineStr">
        <is>
          <t>E026</t>
        </is>
      </c>
      <c r="B260" s="2" t="inlineStr">
        <is>
          <t>E026.09</t>
        </is>
      </c>
      <c r="C260" s="2" t="inlineStr">
        <is>
          <t>Revisar compreensão com participantes sem apresentar explicações prévias.</t>
        </is>
      </c>
      <c r="D260" s="2" t="inlineStr">
        <is>
          <t>Conteúdo UX e Produto</t>
        </is>
      </c>
      <c r="E260" s="4" t="inlineStr">
        <is>
          <t>Pendente</t>
        </is>
      </c>
      <c r="F260" s="4" t="inlineStr"/>
      <c r="G260" s="2">
        <f>IF(AND(E260="Concluída",LEN(TRIM(F260))&gt;0),1,0)</f>
        <v/>
      </c>
      <c r="H260" s="4" t="inlineStr"/>
    </row>
    <row r="261" ht="54" customHeight="1">
      <c r="A261" s="2" t="inlineStr">
        <is>
          <t>E026</t>
        </is>
      </c>
      <c r="B261" s="2" t="inlineStr">
        <is>
          <t>E026.10</t>
        </is>
      </c>
      <c r="C261" s="2" t="inlineStr">
        <is>
          <t>Publicar exemplos aprovados de títulos, mensagens e ações críticas.</t>
        </is>
      </c>
      <c r="D261" s="2" t="inlineStr">
        <is>
          <t>Conteúdo UX e Produto</t>
        </is>
      </c>
      <c r="E261" s="4" t="inlineStr">
        <is>
          <t>Pendente</t>
        </is>
      </c>
      <c r="F261" s="4" t="inlineStr"/>
      <c r="G261" s="2">
        <f>IF(AND(E261="Concluída",LEN(TRIM(F261))&gt;0),1,0)</f>
        <v/>
      </c>
      <c r="H261" s="4" t="inlineStr"/>
    </row>
    <row r="262" ht="54" customHeight="1">
      <c r="A262" s="2" t="inlineStr">
        <is>
          <t>E027</t>
        </is>
      </c>
      <c r="B262" s="2" t="inlineStr">
        <is>
          <t>E027.01</t>
        </is>
      </c>
      <c r="C262" s="2" t="inlineStr">
        <is>
          <t>Inventariar dados exigidos em cadastro, campanha, proposta e entrega.</t>
        </is>
      </c>
      <c r="D262" s="2" t="inlineStr">
        <is>
          <t>UX, Conteúdo e Frontend</t>
        </is>
      </c>
      <c r="E262" s="4" t="inlineStr">
        <is>
          <t>Pendente</t>
        </is>
      </c>
      <c r="F262" s="4" t="inlineStr"/>
      <c r="G262" s="2">
        <f>IF(AND(E262="Concluída",LEN(TRIM(F262))&gt;0),1,0)</f>
        <v/>
      </c>
      <c r="H262" s="4" t="inlineStr"/>
    </row>
    <row r="263" ht="54" customHeight="1">
      <c r="A263" s="2" t="inlineStr">
        <is>
          <t>E027</t>
        </is>
      </c>
      <c r="B263" s="2" t="inlineStr">
        <is>
          <t>E027.02</t>
        </is>
      </c>
      <c r="C263" s="2" t="inlineStr">
        <is>
          <t>Justificar cada campo obrigatório por finalidade operacional concreta.</t>
        </is>
      </c>
      <c r="D263" s="2" t="inlineStr">
        <is>
          <t>UX, Conteúdo e Frontend</t>
        </is>
      </c>
      <c r="E263" s="4" t="inlineStr">
        <is>
          <t>Pendente</t>
        </is>
      </c>
      <c r="F263" s="4" t="inlineStr"/>
      <c r="G263" s="2">
        <f>IF(AND(E263="Concluída",LEN(TRIM(F263))&gt;0),1,0)</f>
        <v/>
      </c>
      <c r="H263" s="4" t="inlineStr"/>
    </row>
    <row r="264" ht="54" customHeight="1">
      <c r="A264" s="2" t="inlineStr">
        <is>
          <t>E027</t>
        </is>
      </c>
      <c r="B264" s="2" t="inlineStr">
        <is>
          <t>E027.03</t>
        </is>
      </c>
      <c r="C264" s="2" t="inlineStr">
        <is>
          <t>Organizar perguntas na ordem em que o comprador possui a informação.</t>
        </is>
      </c>
      <c r="D264" s="2" t="inlineStr">
        <is>
          <t>UX, Conteúdo e Frontend</t>
        </is>
      </c>
      <c r="E264" s="4" t="inlineStr">
        <is>
          <t>Pendente</t>
        </is>
      </c>
      <c r="F264" s="4" t="inlineStr"/>
      <c r="G264" s="2">
        <f>IF(AND(E264="Concluída",LEN(TRIM(F264))&gt;0),1,0)</f>
        <v/>
      </c>
      <c r="H264" s="4" t="inlineStr"/>
    </row>
    <row r="265" ht="54" customHeight="1">
      <c r="A265" s="2" t="inlineStr">
        <is>
          <t>E027</t>
        </is>
      </c>
      <c r="B265" s="2" t="inlineStr">
        <is>
          <t>E027.04</t>
        </is>
      </c>
      <c r="C265" s="2" t="inlineStr">
        <is>
          <t>Definir rótulos persistentes e exemplos compatíveis com o campo.</t>
        </is>
      </c>
      <c r="D265" s="2" t="inlineStr">
        <is>
          <t>UX, Conteúdo e Frontend</t>
        </is>
      </c>
      <c r="E265" s="4" t="inlineStr">
        <is>
          <t>Pendente</t>
        </is>
      </c>
      <c r="F265" s="4" t="inlineStr"/>
      <c r="G265" s="2">
        <f>IF(AND(E265="Concluída",LEN(TRIM(F265))&gt;0),1,0)</f>
        <v/>
      </c>
      <c r="H265" s="4" t="inlineStr"/>
    </row>
    <row r="266" ht="54" customHeight="1">
      <c r="A266" s="2" t="inlineStr">
        <is>
          <t>E027</t>
        </is>
      </c>
      <c r="B266" s="2" t="inlineStr">
        <is>
          <t>E027.05</t>
        </is>
      </c>
      <c r="C266" s="2" t="inlineStr">
        <is>
          <t>Padronizar datas, reais, quantidades, CEP e unidades de medida.</t>
        </is>
      </c>
      <c r="D266" s="2" t="inlineStr">
        <is>
          <t>UX, Conteúdo e Frontend</t>
        </is>
      </c>
      <c r="E266" s="4" t="inlineStr">
        <is>
          <t>Pendente</t>
        </is>
      </c>
      <c r="F266" s="4" t="inlineStr"/>
      <c r="G266" s="2">
        <f>IF(AND(E266="Concluída",LEN(TRIM(F266))&gt;0),1,0)</f>
        <v/>
      </c>
      <c r="H266" s="4" t="inlineStr"/>
    </row>
    <row r="267" ht="54" customHeight="1">
      <c r="A267" s="2" t="inlineStr">
        <is>
          <t>E027</t>
        </is>
      </c>
      <c r="B267" s="2" t="inlineStr">
        <is>
          <t>E027.06</t>
        </is>
      </c>
      <c r="C267" s="2" t="inlineStr">
        <is>
          <t>Permitir colagem, autofill e correção sem máscaras excessivamente restritivas.</t>
        </is>
      </c>
      <c r="D267" s="2" t="inlineStr">
        <is>
          <t>UX, Conteúdo e Frontend</t>
        </is>
      </c>
      <c r="E267" s="4" t="inlineStr">
        <is>
          <t>Pendente</t>
        </is>
      </c>
      <c r="F267" s="4" t="inlineStr"/>
      <c r="G267" s="2">
        <f>IF(AND(E267="Concluída",LEN(TRIM(F267))&gt;0),1,0)</f>
        <v/>
      </c>
      <c r="H267" s="4" t="inlineStr"/>
    </row>
    <row r="268" ht="54" customHeight="1">
      <c r="A268" s="2" t="inlineStr">
        <is>
          <t>E027</t>
        </is>
      </c>
      <c r="B268" s="2" t="inlineStr">
        <is>
          <t>E027.07</t>
        </is>
      </c>
      <c r="C268" s="2" t="inlineStr">
        <is>
          <t>Validar formato no cliente e regras de negócio no servidor.</t>
        </is>
      </c>
      <c r="D268" s="2" t="inlineStr">
        <is>
          <t>UX, Conteúdo e Frontend</t>
        </is>
      </c>
      <c r="E268" s="4" t="inlineStr">
        <is>
          <t>Pendente</t>
        </is>
      </c>
      <c r="F268" s="4" t="inlineStr"/>
      <c r="G268" s="2">
        <f>IF(AND(E268="Concluída",LEN(TRIM(F268))&gt;0),1,0)</f>
        <v/>
      </c>
      <c r="H268" s="4" t="inlineStr"/>
    </row>
    <row r="269" ht="54" customHeight="1">
      <c r="A269" s="2" t="inlineStr">
        <is>
          <t>E027</t>
        </is>
      </c>
      <c r="B269" s="2" t="inlineStr">
        <is>
          <t>E027.08</t>
        </is>
      </c>
      <c r="C269" s="2" t="inlineStr">
        <is>
          <t>Mostrar resumo de erros e vínculo com cada campo problemático.</t>
        </is>
      </c>
      <c r="D269" s="2" t="inlineStr">
        <is>
          <t>UX, Conteúdo e Frontend</t>
        </is>
      </c>
      <c r="E269" s="4" t="inlineStr">
        <is>
          <t>Pendente</t>
        </is>
      </c>
      <c r="F269" s="4" t="inlineStr"/>
      <c r="G269" s="2">
        <f>IF(AND(E269="Concluída",LEN(TRIM(F269))&gt;0),1,0)</f>
        <v/>
      </c>
      <c r="H269" s="4" t="inlineStr"/>
    </row>
    <row r="270" ht="54" customHeight="1">
      <c r="A270" s="2" t="inlineStr">
        <is>
          <t>E027</t>
        </is>
      </c>
      <c r="B270" s="2" t="inlineStr">
        <is>
          <t>E027.09</t>
        </is>
      </c>
      <c r="C270" s="2" t="inlineStr">
        <is>
          <t>Preservar dados após falha, retorno entre etapas e sessão recuperável.</t>
        </is>
      </c>
      <c r="D270" s="2" t="inlineStr">
        <is>
          <t>UX, Conteúdo e Frontend</t>
        </is>
      </c>
      <c r="E270" s="4" t="inlineStr">
        <is>
          <t>Pendente</t>
        </is>
      </c>
      <c r="F270" s="4" t="inlineStr"/>
      <c r="G270" s="2">
        <f>IF(AND(E270="Concluída",LEN(TRIM(F270))&gt;0),1,0)</f>
        <v/>
      </c>
      <c r="H270" s="4" t="inlineStr"/>
    </row>
    <row r="271" ht="54" customHeight="1">
      <c r="A271" s="2" t="inlineStr">
        <is>
          <t>E027</t>
        </is>
      </c>
      <c r="B271" s="2" t="inlineStr">
        <is>
          <t>E027.10</t>
        </is>
      </c>
      <c r="C271" s="2" t="inlineStr">
        <is>
          <t>Testar preenchimento válido, incompleto e incorreto por teclado e toque.</t>
        </is>
      </c>
      <c r="D271" s="2" t="inlineStr">
        <is>
          <t>UX, Conteúdo e Frontend</t>
        </is>
      </c>
      <c r="E271" s="4" t="inlineStr">
        <is>
          <t>Pendente</t>
        </is>
      </c>
      <c r="F271" s="4" t="inlineStr"/>
      <c r="G271" s="2">
        <f>IF(AND(E271="Concluída",LEN(TRIM(F271))&gt;0),1,0)</f>
        <v/>
      </c>
      <c r="H271" s="4" t="inlineStr"/>
    </row>
    <row r="272" ht="54" customHeight="1">
      <c r="A272" s="2" t="inlineStr">
        <is>
          <t>E028</t>
        </is>
      </c>
      <c r="B272" s="2" t="inlineStr">
        <is>
          <t>E028.01</t>
        </is>
      </c>
      <c r="C272" s="2" t="inlineStr">
        <is>
          <t>Listar estados possíveis de catálogo, orçamento, aprovação e entrega.</t>
        </is>
      </c>
      <c r="D272" s="2" t="inlineStr">
        <is>
          <t>UX, Frontend e Backend</t>
        </is>
      </c>
      <c r="E272" s="4" t="inlineStr">
        <is>
          <t>Pendente</t>
        </is>
      </c>
      <c r="F272" s="4" t="inlineStr"/>
      <c r="G272" s="2">
        <f>IF(AND(E272="Concluída",LEN(TRIM(F272))&gt;0),1,0)</f>
        <v/>
      </c>
      <c r="H272" s="4" t="inlineStr"/>
    </row>
    <row r="273" ht="54" customHeight="1">
      <c r="A273" s="2" t="inlineStr">
        <is>
          <t>E028</t>
        </is>
      </c>
      <c r="B273" s="2" t="inlineStr">
        <is>
          <t>E028.02</t>
        </is>
      </c>
      <c r="C273" s="2" t="inlineStr">
        <is>
          <t>Separar primeira utilização de ausência de resultados após filtros.</t>
        </is>
      </c>
      <c r="D273" s="2" t="inlineStr">
        <is>
          <t>UX, Frontend e Backend</t>
        </is>
      </c>
      <c r="E273" s="4" t="inlineStr">
        <is>
          <t>Pendente</t>
        </is>
      </c>
      <c r="F273" s="4" t="inlineStr"/>
      <c r="G273" s="2">
        <f>IF(AND(E273="Concluída",LEN(TRIM(F273))&gt;0),1,0)</f>
        <v/>
      </c>
      <c r="H273" s="4" t="inlineStr"/>
    </row>
    <row r="274" ht="54" customHeight="1">
      <c r="A274" s="2" t="inlineStr">
        <is>
          <t>E028</t>
        </is>
      </c>
      <c r="B274" s="2" t="inlineStr">
        <is>
          <t>E028.03</t>
        </is>
      </c>
      <c r="C274" s="2" t="inlineStr">
        <is>
          <t>Diferenciar permissão negada, sessão expirada e serviço indisponível.</t>
        </is>
      </c>
      <c r="D274" s="2" t="inlineStr">
        <is>
          <t>UX, Frontend e Backend</t>
        </is>
      </c>
      <c r="E274" s="4" t="inlineStr">
        <is>
          <t>Pendente</t>
        </is>
      </c>
      <c r="F274" s="4" t="inlineStr"/>
      <c r="G274" s="2">
        <f>IF(AND(E274="Concluída",LEN(TRIM(F274))&gt;0),1,0)</f>
        <v/>
      </c>
      <c r="H274" s="4" t="inlineStr"/>
    </row>
    <row r="275" ht="54" customHeight="1">
      <c r="A275" s="2" t="inlineStr">
        <is>
          <t>E028</t>
        </is>
      </c>
      <c r="B275" s="2" t="inlineStr">
        <is>
          <t>E028.04</t>
        </is>
      </c>
      <c r="C275" s="2" t="inlineStr">
        <is>
          <t>Definir carregamento inicial e atualização parcial sem apagar conteúdo útil.</t>
        </is>
      </c>
      <c r="D275" s="2" t="inlineStr">
        <is>
          <t>UX, Frontend e Backend</t>
        </is>
      </c>
      <c r="E275" s="4" t="inlineStr">
        <is>
          <t>Pendente</t>
        </is>
      </c>
      <c r="F275" s="4" t="inlineStr"/>
      <c r="G275" s="2">
        <f>IF(AND(E275="Concluída",LEN(TRIM(F275))&gt;0),1,0)</f>
        <v/>
      </c>
      <c r="H275" s="4" t="inlineStr"/>
    </row>
    <row r="276" ht="54" customHeight="1">
      <c r="A276" s="2" t="inlineStr">
        <is>
          <t>E028</t>
        </is>
      </c>
      <c r="B276" s="2" t="inlineStr">
        <is>
          <t>E028.05</t>
        </is>
      </c>
      <c r="C276" s="2" t="inlineStr">
        <is>
          <t>Projetar nova tentativa somente para operações seguras ou idempotentes.</t>
        </is>
      </c>
      <c r="D276" s="2" t="inlineStr">
        <is>
          <t>UX, Frontend e Backend</t>
        </is>
      </c>
      <c r="E276" s="4" t="inlineStr">
        <is>
          <t>Pendente</t>
        </is>
      </c>
      <c r="F276" s="4" t="inlineStr"/>
      <c r="G276" s="2">
        <f>IF(AND(E276="Concluída",LEN(TRIM(F276))&gt;0),1,0)</f>
        <v/>
      </c>
      <c r="H276" s="4" t="inlineStr"/>
    </row>
    <row r="277" ht="54" customHeight="1">
      <c r="A277" s="2" t="inlineStr">
        <is>
          <t>E028</t>
        </is>
      </c>
      <c r="B277" s="2" t="inlineStr">
        <is>
          <t>E028.06</t>
        </is>
      </c>
      <c r="C277" s="2" t="inlineStr">
        <is>
          <t>Explicar conflitos de versão quando outro usuário alterou o registro.</t>
        </is>
      </c>
      <c r="D277" s="2" t="inlineStr">
        <is>
          <t>UX, Frontend e Backend</t>
        </is>
      </c>
      <c r="E277" s="4" t="inlineStr">
        <is>
          <t>Pendente</t>
        </is>
      </c>
      <c r="F277" s="4" t="inlineStr"/>
      <c r="G277" s="2">
        <f>IF(AND(E277="Concluída",LEN(TRIM(F277))&gt;0),1,0)</f>
        <v/>
      </c>
      <c r="H277" s="4" t="inlineStr"/>
    </row>
    <row r="278" ht="54" customHeight="1">
      <c r="A278" s="2" t="inlineStr">
        <is>
          <t>E028</t>
        </is>
      </c>
      <c r="B278" s="2" t="inlineStr">
        <is>
          <t>E028.07</t>
        </is>
      </c>
      <c r="C278" s="2" t="inlineStr">
        <is>
          <t>Exibir dados antigos com horário e restrições quando houver cache válido.</t>
        </is>
      </c>
      <c r="D278" s="2" t="inlineStr">
        <is>
          <t>UX, Frontend e Backend</t>
        </is>
      </c>
      <c r="E278" s="4" t="inlineStr">
        <is>
          <t>Pendente</t>
        </is>
      </c>
      <c r="F278" s="4" t="inlineStr"/>
      <c r="G278" s="2">
        <f>IF(AND(E278="Concluída",LEN(TRIM(F278))&gt;0),1,0)</f>
        <v/>
      </c>
      <c r="H278" s="4" t="inlineStr"/>
    </row>
    <row r="279" ht="54" customHeight="1">
      <c r="A279" s="2" t="inlineStr">
        <is>
          <t>E028</t>
        </is>
      </c>
      <c r="B279" s="2" t="inlineStr">
        <is>
          <t>E028.08</t>
        </is>
      </c>
      <c r="C279" s="2" t="inlineStr">
        <is>
          <t>Remover sucesso otimista de ações financeiras ainda não confirmadas.</t>
        </is>
      </c>
      <c r="D279" s="2" t="inlineStr">
        <is>
          <t>UX, Frontend e Backend</t>
        </is>
      </c>
      <c r="E279" s="4" t="inlineStr">
        <is>
          <t>Pendente</t>
        </is>
      </c>
      <c r="F279" s="4" t="inlineStr"/>
      <c r="G279" s="2">
        <f>IF(AND(E279="Concluída",LEN(TRIM(F279))&gt;0),1,0)</f>
        <v/>
      </c>
      <c r="H279" s="4" t="inlineStr"/>
    </row>
    <row r="280" ht="54" customHeight="1">
      <c r="A280" s="2" t="inlineStr">
        <is>
          <t>E028</t>
        </is>
      </c>
      <c r="B280" s="2" t="inlineStr">
        <is>
          <t>E028.09</t>
        </is>
      </c>
      <c r="C280" s="2" t="inlineStr">
        <is>
          <t>Definir canal de suporte com identificador de ocorrência não sensível.</t>
        </is>
      </c>
      <c r="D280" s="2" t="inlineStr">
        <is>
          <t>UX, Frontend e Backend</t>
        </is>
      </c>
      <c r="E280" s="4" t="inlineStr">
        <is>
          <t>Pendente</t>
        </is>
      </c>
      <c r="F280" s="4" t="inlineStr"/>
      <c r="G280" s="2">
        <f>IF(AND(E280="Concluída",LEN(TRIM(F280))&gt;0),1,0)</f>
        <v/>
      </c>
      <c r="H280" s="4" t="inlineStr"/>
    </row>
    <row r="281" ht="54" customHeight="1">
      <c r="A281" s="2" t="inlineStr">
        <is>
          <t>E028</t>
        </is>
      </c>
      <c r="B281" s="2" t="inlineStr">
        <is>
          <t>E028.10</t>
        </is>
      </c>
      <c r="C281" s="2" t="inlineStr">
        <is>
          <t>Simular cada estado e validar clareza, foco e preservação do trabalho.</t>
        </is>
      </c>
      <c r="D281" s="2" t="inlineStr">
        <is>
          <t>UX, Frontend e Backend</t>
        </is>
      </c>
      <c r="E281" s="4" t="inlineStr">
        <is>
          <t>Pendente</t>
        </is>
      </c>
      <c r="F281" s="4" t="inlineStr"/>
      <c r="G281" s="2">
        <f>IF(AND(E281="Concluída",LEN(TRIM(F281))&gt;0),1,0)</f>
        <v/>
      </c>
      <c r="H281" s="4" t="inlineStr"/>
    </row>
    <row r="282" ht="54" customHeight="1">
      <c r="A282" s="2" t="inlineStr">
        <is>
          <t>E029</t>
        </is>
      </c>
      <c r="B282" s="2" t="inlineStr">
        <is>
          <t>E029.01</t>
        </is>
      </c>
      <c r="C282" s="2" t="inlineStr">
        <is>
          <t>Relacionar eventos que realmente exigem ação de uma pessoa.</t>
        </is>
      </c>
      <c r="D282" s="2" t="inlineStr">
        <is>
          <t>UX, Operação e Backend</t>
        </is>
      </c>
      <c r="E282" s="4" t="inlineStr">
        <is>
          <t>Pendente</t>
        </is>
      </c>
      <c r="F282" s="4" t="inlineStr"/>
      <c r="G282" s="2">
        <f>IF(AND(E282="Concluída",LEN(TRIM(F282))&gt;0),1,0)</f>
        <v/>
      </c>
      <c r="H282" s="4" t="inlineStr"/>
    </row>
    <row r="283" ht="54" customHeight="1">
      <c r="A283" s="2" t="inlineStr">
        <is>
          <t>E029</t>
        </is>
      </c>
      <c r="B283" s="2" t="inlineStr">
        <is>
          <t>E029.02</t>
        </is>
      </c>
      <c r="C283" s="2" t="inlineStr">
        <is>
          <t>Definir destinatário de arte, despesa, atraso e divergência de entrega.</t>
        </is>
      </c>
      <c r="D283" s="2" t="inlineStr">
        <is>
          <t>UX, Operação e Backend</t>
        </is>
      </c>
      <c r="E283" s="4" t="inlineStr">
        <is>
          <t>Pendente</t>
        </is>
      </c>
      <c r="F283" s="4" t="inlineStr"/>
      <c r="G283" s="2">
        <f>IF(AND(E283="Concluída",LEN(TRIM(F283))&gt;0),1,0)</f>
        <v/>
      </c>
      <c r="H283" s="4" t="inlineStr"/>
    </row>
    <row r="284" ht="54" customHeight="1">
      <c r="A284" s="2" t="inlineStr">
        <is>
          <t>E029</t>
        </is>
      </c>
      <c r="B284" s="2" t="inlineStr">
        <is>
          <t>E029.03</t>
        </is>
      </c>
      <c r="C284" s="2" t="inlineStr">
        <is>
          <t>Separar mensagens informativas de pendências que bloqueiam a compra.</t>
        </is>
      </c>
      <c r="D284" s="2" t="inlineStr">
        <is>
          <t>UX, Operação e Backend</t>
        </is>
      </c>
      <c r="E284" s="4" t="inlineStr">
        <is>
          <t>Pendente</t>
        </is>
      </c>
      <c r="F284" s="4" t="inlineStr"/>
      <c r="G284" s="2">
        <f>IF(AND(E284="Concluída",LEN(TRIM(F284))&gt;0),1,0)</f>
        <v/>
      </c>
      <c r="H284" s="4" t="inlineStr"/>
    </row>
    <row r="285" ht="54" customHeight="1">
      <c r="A285" s="2" t="inlineStr">
        <is>
          <t>E029</t>
        </is>
      </c>
      <c r="B285" s="2" t="inlineStr">
        <is>
          <t>E029.04</t>
        </is>
      </c>
      <c r="C285" s="2" t="inlineStr">
        <is>
          <t>Escolher canais suportados e comprovar suas integrações antes de anunciá-los.</t>
        </is>
      </c>
      <c r="D285" s="2" t="inlineStr">
        <is>
          <t>UX, Operação e Backend</t>
        </is>
      </c>
      <c r="E285" s="4" t="inlineStr">
        <is>
          <t>Pendente</t>
        </is>
      </c>
      <c r="F285" s="4" t="inlineStr"/>
      <c r="G285" s="2">
        <f>IF(AND(E285="Concluída",LEN(TRIM(F285))&gt;0),1,0)</f>
        <v/>
      </c>
      <c r="H285" s="4" t="inlineStr"/>
    </row>
    <row r="286" ht="54" customHeight="1">
      <c r="A286" s="2" t="inlineStr">
        <is>
          <t>E029</t>
        </is>
      </c>
      <c r="B286" s="2" t="inlineStr">
        <is>
          <t>E029.05</t>
        </is>
      </c>
      <c r="C286" s="2" t="inlineStr">
        <is>
          <t>Definir agrupamento para evitar múltiplos avisos equivalentes.</t>
        </is>
      </c>
      <c r="D286" s="2" t="inlineStr">
        <is>
          <t>UX, Operação e Backend</t>
        </is>
      </c>
      <c r="E286" s="4" t="inlineStr">
        <is>
          <t>Pendente</t>
        </is>
      </c>
      <c r="F286" s="4" t="inlineStr"/>
      <c r="G286" s="2">
        <f>IF(AND(E286="Concluída",LEN(TRIM(F286))&gt;0),1,0)</f>
        <v/>
      </c>
      <c r="H286" s="4" t="inlineStr"/>
    </row>
    <row r="287" ht="54" customHeight="1">
      <c r="A287" s="2" t="inlineStr">
        <is>
          <t>E029</t>
        </is>
      </c>
      <c r="B287" s="2" t="inlineStr">
        <is>
          <t>E029.06</t>
        </is>
      </c>
      <c r="C287" s="2" t="inlineStr">
        <is>
          <t>Estabelecer preferências permitidas sem suprimir comunicações essenciais.</t>
        </is>
      </c>
      <c r="D287" s="2" t="inlineStr">
        <is>
          <t>UX, Operação e Backend</t>
        </is>
      </c>
      <c r="E287" s="4" t="inlineStr">
        <is>
          <t>Pendente</t>
        </is>
      </c>
      <c r="F287" s="4" t="inlineStr"/>
      <c r="G287" s="2">
        <f>IF(AND(E287="Concluída",LEN(TRIM(F287))&gt;0),1,0)</f>
        <v/>
      </c>
      <c r="H287" s="4" t="inlineStr"/>
    </row>
    <row r="288" ht="54" customHeight="1">
      <c r="A288" s="2" t="inlineStr">
        <is>
          <t>E029</t>
        </is>
      </c>
      <c r="B288" s="2" t="inlineStr">
        <is>
          <t>E029.07</t>
        </is>
      </c>
      <c r="C288" s="2" t="inlineStr">
        <is>
          <t>Respeitar fuso e calendário operacional quando houver agendamento.</t>
        </is>
      </c>
      <c r="D288" s="2" t="inlineStr">
        <is>
          <t>UX, Operação e Backend</t>
        </is>
      </c>
      <c r="E288" s="4" t="inlineStr">
        <is>
          <t>Pendente</t>
        </is>
      </c>
      <c r="F288" s="4" t="inlineStr"/>
      <c r="G288" s="2">
        <f>IF(AND(E288="Concluída",LEN(TRIM(F288))&gt;0),1,0)</f>
        <v/>
      </c>
      <c r="H288" s="4" t="inlineStr"/>
    </row>
    <row r="289" ht="54" customHeight="1">
      <c r="A289" s="2" t="inlineStr">
        <is>
          <t>E029</t>
        </is>
      </c>
      <c r="B289" s="2" t="inlineStr">
        <is>
          <t>E029.08</t>
        </is>
      </c>
      <c r="C289" s="2" t="inlineStr">
        <is>
          <t>Criar links que validem sessão e escopo ao abrir a pendência.</t>
        </is>
      </c>
      <c r="D289" s="2" t="inlineStr">
        <is>
          <t>UX, Operação e Backend</t>
        </is>
      </c>
      <c r="E289" s="4" t="inlineStr">
        <is>
          <t>Pendente</t>
        </is>
      </c>
      <c r="F289" s="4" t="inlineStr"/>
      <c r="G289" s="2">
        <f>IF(AND(E289="Concluída",LEN(TRIM(F289))&gt;0),1,0)</f>
        <v/>
      </c>
      <c r="H289" s="4" t="inlineStr"/>
    </row>
    <row r="290" ht="54" customHeight="1">
      <c r="A290" s="2" t="inlineStr">
        <is>
          <t>E029</t>
        </is>
      </c>
      <c r="B290" s="2" t="inlineStr">
        <is>
          <t>E029.09</t>
        </is>
      </c>
      <c r="C290" s="2" t="inlineStr">
        <is>
          <t>Definir estados criado, enfileirado, enviado e falhou com significado preciso.</t>
        </is>
      </c>
      <c r="D290" s="2" t="inlineStr">
        <is>
          <t>UX, Operação e Backend</t>
        </is>
      </c>
      <c r="E290" s="4" t="inlineStr">
        <is>
          <t>Pendente</t>
        </is>
      </c>
      <c r="F290" s="4" t="inlineStr"/>
      <c r="G290" s="2">
        <f>IF(AND(E290="Concluída",LEN(TRIM(F290))&gt;0),1,0)</f>
        <v/>
      </c>
      <c r="H290" s="4" t="inlineStr"/>
    </row>
    <row r="291" ht="54" customHeight="1">
      <c r="A291" s="2" t="inlineStr">
        <is>
          <t>E029</t>
        </is>
      </c>
      <c r="B291" s="2" t="inlineStr">
        <is>
          <t>E029.10</t>
        </is>
      </c>
      <c r="C291" s="2" t="inlineStr">
        <is>
          <t>Validar a matriz com exemplos de compra, arte e entrega parcial.</t>
        </is>
      </c>
      <c r="D291" s="2" t="inlineStr">
        <is>
          <t>UX, Operação e Backend</t>
        </is>
      </c>
      <c r="E291" s="4" t="inlineStr">
        <is>
          <t>Pendente</t>
        </is>
      </c>
      <c r="F291" s="4" t="inlineStr"/>
      <c r="G291" s="2">
        <f>IF(AND(E291="Concluída",LEN(TRIM(F291))&gt;0),1,0)</f>
        <v/>
      </c>
      <c r="H291" s="4" t="inlineStr"/>
    </row>
    <row r="292" ht="54" customHeight="1">
      <c r="A292" s="2" t="inlineStr">
        <is>
          <t>E030</t>
        </is>
      </c>
      <c r="B292" s="2" t="inlineStr">
        <is>
          <t>E030.01</t>
        </is>
      </c>
      <c r="C292" s="2" t="inlineStr">
        <is>
          <t>Prototipar a entrada do comprador e a seleção de contexto.</t>
        </is>
      </c>
      <c r="D292" s="2" t="inlineStr">
        <is>
          <t>UX e Pesquisa</t>
        </is>
      </c>
      <c r="E292" s="4" t="inlineStr">
        <is>
          <t>Pendente</t>
        </is>
      </c>
      <c r="F292" s="4" t="inlineStr"/>
      <c r="G292" s="2">
        <f>IF(AND(E292="Concluída",LEN(TRIM(F292))&gt;0),1,0)</f>
        <v/>
      </c>
      <c r="H292" s="4" t="inlineStr"/>
    </row>
    <row r="293" ht="54" customHeight="1">
      <c r="A293" s="2" t="inlineStr">
        <is>
          <t>E030</t>
        </is>
      </c>
      <c r="B293" s="2" t="inlineStr">
        <is>
          <t>E030.02</t>
        </is>
      </c>
      <c r="C293" s="2" t="inlineStr">
        <is>
          <t>Representar busca, filtro, detalhe e retorno ao catálogo.</t>
        </is>
      </c>
      <c r="D293" s="2" t="inlineStr">
        <is>
          <t>UX e Pesquisa</t>
        </is>
      </c>
      <c r="E293" s="4" t="inlineStr">
        <is>
          <t>Pendente</t>
        </is>
      </c>
      <c r="F293" s="4" t="inlineStr"/>
      <c r="G293" s="2">
        <f>IF(AND(E293="Concluída",LEN(TRIM(F293))&gt;0),1,0)</f>
        <v/>
      </c>
      <c r="H293" s="4" t="inlineStr"/>
    </row>
    <row r="294" ht="54" customHeight="1">
      <c r="A294" s="2" t="inlineStr">
        <is>
          <t>E030</t>
        </is>
      </c>
      <c r="B294" s="2" t="inlineStr">
        <is>
          <t>E030.03</t>
        </is>
      </c>
      <c r="C294" s="2" t="inlineStr">
        <is>
          <t>Simular montagem de campanha e definição de destinos.</t>
        </is>
      </c>
      <c r="D294" s="2" t="inlineStr">
        <is>
          <t>UX e Pesquisa</t>
        </is>
      </c>
      <c r="E294" s="4" t="inlineStr">
        <is>
          <t>Pendente</t>
        </is>
      </c>
      <c r="F294" s="4" t="inlineStr"/>
      <c r="G294" s="2">
        <f>IF(AND(E294="Concluída",LEN(TRIM(F294))&gt;0),1,0)</f>
        <v/>
      </c>
      <c r="H294" s="4" t="inlineStr"/>
    </row>
    <row r="295" ht="54" customHeight="1">
      <c r="A295" s="2" t="inlineStr">
        <is>
          <t>E030</t>
        </is>
      </c>
      <c r="B295" s="2" t="inlineStr">
        <is>
          <t>E030.04</t>
        </is>
      </c>
      <c r="C295" s="2" t="inlineStr">
        <is>
          <t>Representar proposta com valores, validade e pendências.</t>
        </is>
      </c>
      <c r="D295" s="2" t="inlineStr">
        <is>
          <t>UX e Pesquisa</t>
        </is>
      </c>
      <c r="E295" s="4" t="inlineStr">
        <is>
          <t>Pendente</t>
        </is>
      </c>
      <c r="F295" s="4" t="inlineStr"/>
      <c r="G295" s="2">
        <f>IF(AND(E295="Concluída",LEN(TRIM(F295))&gt;0),1,0)</f>
        <v/>
      </c>
      <c r="H295" s="4" t="inlineStr"/>
    </row>
    <row r="296" ht="54" customHeight="1">
      <c r="A296" s="2" t="inlineStr">
        <is>
          <t>E030</t>
        </is>
      </c>
      <c r="B296" s="2" t="inlineStr">
        <is>
          <t>E030.05</t>
        </is>
      </c>
      <c r="C296" s="2" t="inlineStr">
        <is>
          <t>Separar a aprovação da arte da autorização da despesa.</t>
        </is>
      </c>
      <c r="D296" s="2" t="inlineStr">
        <is>
          <t>UX e Pesquisa</t>
        </is>
      </c>
      <c r="E296" s="4" t="inlineStr">
        <is>
          <t>Pendente</t>
        </is>
      </c>
      <c r="F296" s="4" t="inlineStr"/>
      <c r="G296" s="2">
        <f>IF(AND(E296="Concluída",LEN(TRIM(F296))&gt;0),1,0)</f>
        <v/>
      </c>
      <c r="H296" s="4" t="inlineStr"/>
    </row>
    <row r="297" ht="54" customHeight="1">
      <c r="A297" s="2" t="inlineStr">
        <is>
          <t>E030</t>
        </is>
      </c>
      <c r="B297" s="2" t="inlineStr">
        <is>
          <t>E030.06</t>
        </is>
      </c>
      <c r="C297" s="2" t="inlineStr">
        <is>
          <t>Incluir rejeição, correção e retomada de trabalho no protótipo.</t>
        </is>
      </c>
      <c r="D297" s="2" t="inlineStr">
        <is>
          <t>UX e Pesquisa</t>
        </is>
      </c>
      <c r="E297" s="4" t="inlineStr">
        <is>
          <t>Pendente</t>
        </is>
      </c>
      <c r="F297" s="4" t="inlineStr"/>
      <c r="G297" s="2">
        <f>IF(AND(E297="Concluída",LEN(TRIM(F297))&gt;0),1,0)</f>
        <v/>
      </c>
      <c r="H297" s="4" t="inlineStr"/>
    </row>
    <row r="298" ht="54" customHeight="1">
      <c r="A298" s="2" t="inlineStr">
        <is>
          <t>E030</t>
        </is>
      </c>
      <c r="B298" s="2" t="inlineStr">
        <is>
          <t>E030.07</t>
        </is>
      </c>
      <c r="C298" s="2" t="inlineStr">
        <is>
          <t>Representar entrega parcial e abertura de ocorrência.</t>
        </is>
      </c>
      <c r="D298" s="2" t="inlineStr">
        <is>
          <t>UX e Pesquisa</t>
        </is>
      </c>
      <c r="E298" s="4" t="inlineStr">
        <is>
          <t>Pendente</t>
        </is>
      </c>
      <c r="F298" s="4" t="inlineStr"/>
      <c r="G298" s="2">
        <f>IF(AND(E298="Concluída",LEN(TRIM(F298))&gt;0),1,0)</f>
        <v/>
      </c>
      <c r="H298" s="4" t="inlineStr"/>
    </row>
    <row r="299" ht="54" customHeight="1">
      <c r="A299" s="2" t="inlineStr">
        <is>
          <t>E030</t>
        </is>
      </c>
      <c r="B299" s="2" t="inlineStr">
        <is>
          <t>E030.08</t>
        </is>
      </c>
      <c r="C299" s="2" t="inlineStr">
        <is>
          <t>Conduzir tarefas observadas sem orientar o caminho esperado.</t>
        </is>
      </c>
      <c r="D299" s="2" t="inlineStr">
        <is>
          <t>UX e Pesquisa</t>
        </is>
      </c>
      <c r="E299" s="4" t="inlineStr">
        <is>
          <t>Pendente</t>
        </is>
      </c>
      <c r="F299" s="4" t="inlineStr"/>
      <c r="G299" s="2">
        <f>IF(AND(E299="Concluída",LEN(TRIM(F299))&gt;0),1,0)</f>
        <v/>
      </c>
      <c r="H299" s="4" t="inlineStr"/>
    </row>
    <row r="300" ht="54" customHeight="1">
      <c r="A300" s="2" t="inlineStr">
        <is>
          <t>E030</t>
        </is>
      </c>
      <c r="B300" s="2" t="inlineStr">
        <is>
          <t>E030.09</t>
        </is>
      </c>
      <c r="C300" s="2" t="inlineStr">
        <is>
          <t>Priorizar falhas por impacto e revisar os fluxos correspondentes.</t>
        </is>
      </c>
      <c r="D300" s="2" t="inlineStr">
        <is>
          <t>UX e Pesquisa</t>
        </is>
      </c>
      <c r="E300" s="4" t="inlineStr">
        <is>
          <t>Pendente</t>
        </is>
      </c>
      <c r="F300" s="4" t="inlineStr"/>
      <c r="G300" s="2">
        <f>IF(AND(E300="Concluída",LEN(TRIM(F300))&gt;0),1,0)</f>
        <v/>
      </c>
      <c r="H300" s="4" t="inlineStr"/>
    </row>
    <row r="301" ht="54" customHeight="1">
      <c r="A301" s="2" t="inlineStr">
        <is>
          <t>E030</t>
        </is>
      </c>
      <c r="B301" s="2" t="inlineStr">
        <is>
          <t>E030.10</t>
        </is>
      </c>
      <c r="C301" s="2" t="inlineStr">
        <is>
          <t>Registrar evidências da segunda verificação dos problemas críticos encontrados.</t>
        </is>
      </c>
      <c r="D301" s="2" t="inlineStr">
        <is>
          <t>UX e Pesquisa</t>
        </is>
      </c>
      <c r="E301" s="4" t="inlineStr">
        <is>
          <t>Pendente</t>
        </is>
      </c>
      <c r="F301" s="4" t="inlineStr"/>
      <c r="G301" s="2">
        <f>IF(AND(E301="Concluída",LEN(TRIM(F301))&gt;0),1,0)</f>
        <v/>
      </c>
      <c r="H301" s="4" t="inlineStr"/>
    </row>
    <row r="302" ht="54" customHeight="1">
      <c r="A302" s="2" t="inlineStr">
        <is>
          <t>E031</t>
        </is>
      </c>
      <c r="B302" s="2" t="inlineStr">
        <is>
          <t>E031.01</t>
        </is>
      </c>
      <c r="C302" s="2" t="inlineStr">
        <is>
          <t>Confirmar o manual vigente e o responsável por validar seu uso.</t>
        </is>
      </c>
      <c r="D302" s="2" t="inlineStr">
        <is>
          <t>Direção de design e responsável pela marca</t>
        </is>
      </c>
      <c r="E302" s="4" t="inlineStr">
        <is>
          <t>Pendente</t>
        </is>
      </c>
      <c r="F302" s="4" t="inlineStr"/>
      <c r="G302" s="2">
        <f>IF(AND(E302="Concluída",LEN(TRIM(F302))&gt;0),1,0)</f>
        <v/>
      </c>
      <c r="H302" s="4" t="inlineStr"/>
    </row>
    <row r="303" ht="54" customHeight="1">
      <c r="A303" s="2" t="inlineStr">
        <is>
          <t>E031</t>
        </is>
      </c>
      <c r="B303" s="2" t="inlineStr">
        <is>
          <t>E031.02</t>
        </is>
      </c>
      <c r="C303" s="2" t="inlineStr">
        <is>
          <t>Obter arquivos autorizados de logo, assinaturas e variações necessárias.</t>
        </is>
      </c>
      <c r="D303" s="2" t="inlineStr">
        <is>
          <t>Direção de design e responsável pela marca</t>
        </is>
      </c>
      <c r="E303" s="4" t="inlineStr">
        <is>
          <t>Pendente</t>
        </is>
      </c>
      <c r="F303" s="4" t="inlineStr"/>
      <c r="G303" s="2">
        <f>IF(AND(E303="Concluída",LEN(TRIM(F303))&gt;0),1,0)</f>
        <v/>
      </c>
      <c r="H303" s="4" t="inlineStr"/>
    </row>
    <row r="304" ht="54" customHeight="1">
      <c r="A304" s="2" t="inlineStr">
        <is>
          <t>E031</t>
        </is>
      </c>
      <c r="B304" s="2" t="inlineStr">
        <is>
          <t>E031.03</t>
        </is>
      </c>
      <c r="C304" s="2" t="inlineStr">
        <is>
          <t>Documentar proporção, área de proteção e tamanho mínimo aplicáveis.</t>
        </is>
      </c>
      <c r="D304" s="2" t="inlineStr">
        <is>
          <t>Direção de design e responsável pela marca</t>
        </is>
      </c>
      <c r="E304" s="4" t="inlineStr">
        <is>
          <t>Pendente</t>
        </is>
      </c>
      <c r="F304" s="4" t="inlineStr"/>
      <c r="G304" s="2">
        <f>IF(AND(E304="Concluída",LEN(TRIM(F304))&gt;0),1,0)</f>
        <v/>
      </c>
      <c r="H304" s="4" t="inlineStr"/>
    </row>
    <row r="305" ht="54" customHeight="1">
      <c r="A305" s="2" t="inlineStr">
        <is>
          <t>E031</t>
        </is>
      </c>
      <c r="B305" s="2" t="inlineStr">
        <is>
          <t>E031.04</t>
        </is>
      </c>
      <c r="C305" s="2" t="inlineStr">
        <is>
          <t>Resolver a divergência de RGB e HEX identificada no guia consultado.</t>
        </is>
      </c>
      <c r="D305" s="2" t="inlineStr">
        <is>
          <t>Direção de design e responsável pela marca</t>
        </is>
      </c>
      <c r="E305" s="4" t="inlineStr">
        <is>
          <t>Pendente</t>
        </is>
      </c>
      <c r="F305" s="4" t="inlineStr"/>
      <c r="G305" s="2">
        <f>IF(AND(E305="Concluída",LEN(TRIM(F305))&gt;0),1,0)</f>
        <v/>
      </c>
      <c r="H305" s="4" t="inlineStr"/>
    </row>
    <row r="306" ht="54" customHeight="1">
      <c r="A306" s="2" t="inlineStr">
        <is>
          <t>E031</t>
        </is>
      </c>
      <c r="B306" s="2" t="inlineStr">
        <is>
          <t>E031.05</t>
        </is>
      </c>
      <c r="C306" s="2" t="inlineStr">
        <is>
          <t>Definir relação entre identidade Sicoob e identificação do fornecedor operador.</t>
        </is>
      </c>
      <c r="D306" s="2" t="inlineStr">
        <is>
          <t>Direção de design e responsável pela marca</t>
        </is>
      </c>
      <c r="E306" s="4" t="inlineStr">
        <is>
          <t>Pendente</t>
        </is>
      </c>
      <c r="F306" s="4" t="inlineStr"/>
      <c r="G306" s="2">
        <f>IF(AND(E306="Concluída",LEN(TRIM(F306))&gt;0),1,0)</f>
        <v/>
      </c>
      <c r="H306" s="4" t="inlineStr"/>
    </row>
    <row r="307" ht="54" customHeight="1">
      <c r="A307" s="2" t="inlineStr">
        <is>
          <t>E031</t>
        </is>
      </c>
      <c r="B307" s="2" t="inlineStr">
        <is>
          <t>E031.06</t>
        </is>
      </c>
      <c r="C307" s="2" t="inlineStr">
        <is>
          <t>Escolher referências visuais por clareza, confiança e contexto institucional.</t>
        </is>
      </c>
      <c r="D307" s="2" t="inlineStr">
        <is>
          <t>Direção de design e responsável pela marca</t>
        </is>
      </c>
      <c r="E307" s="4" t="inlineStr">
        <is>
          <t>Pendente</t>
        </is>
      </c>
      <c r="F307" s="4" t="inlineStr"/>
      <c r="G307" s="2">
        <f>IF(AND(E307="Concluída",LEN(TRIM(F307))&gt;0),1,0)</f>
        <v/>
      </c>
      <c r="H307" s="4" t="inlineStr"/>
    </row>
    <row r="308" ht="54" customHeight="1">
      <c r="A308" s="2" t="inlineStr">
        <is>
          <t>E031</t>
        </is>
      </c>
      <c r="B308" s="2" t="inlineStr">
        <is>
          <t>E031.07</t>
        </is>
      </c>
      <c r="C308" s="2" t="inlineStr">
        <is>
          <t>Criar alternativas aplicadas a catálogo, proposta e aprovação reais.</t>
        </is>
      </c>
      <c r="D308" s="2" t="inlineStr">
        <is>
          <t>Direção de design e responsável pela marca</t>
        </is>
      </c>
      <c r="E308" s="4" t="inlineStr">
        <is>
          <t>Pendente</t>
        </is>
      </c>
      <c r="F308" s="4" t="inlineStr"/>
      <c r="G308" s="2">
        <f>IF(AND(E308="Concluída",LEN(TRIM(F308))&gt;0),1,0)</f>
        <v/>
      </c>
      <c r="H308" s="4" t="inlineStr"/>
    </row>
    <row r="309" ht="54" customHeight="1">
      <c r="A309" s="2" t="inlineStr">
        <is>
          <t>E031</t>
        </is>
      </c>
      <c r="B309" s="2" t="inlineStr">
        <is>
          <t>E031.08</t>
        </is>
      </c>
      <c r="C309" s="2" t="inlineStr">
        <is>
          <t>Comparar alternativas por legibilidade e foco na tarefa de compra.</t>
        </is>
      </c>
      <c r="D309" s="2" t="inlineStr">
        <is>
          <t>Direção de design e responsável pela marca</t>
        </is>
      </c>
      <c r="E309" s="4" t="inlineStr">
        <is>
          <t>Pendente</t>
        </is>
      </c>
      <c r="F309" s="4" t="inlineStr"/>
      <c r="G309" s="2">
        <f>IF(AND(E309="Concluída",LEN(TRIM(F309))&gt;0),1,0)</f>
        <v/>
      </c>
      <c r="H309" s="4" t="inlineStr"/>
    </row>
    <row r="310" ht="54" customHeight="1">
      <c r="A310" s="2" t="inlineStr">
        <is>
          <t>E031</t>
        </is>
      </c>
      <c r="B310" s="2" t="inlineStr">
        <is>
          <t>E031.09</t>
        </is>
      </c>
      <c r="C310" s="2" t="inlineStr">
        <is>
          <t>Validar a direção com marketing e participantes do público prioritário.</t>
        </is>
      </c>
      <c r="D310" s="2" t="inlineStr">
        <is>
          <t>Direção de design e responsável pela marca</t>
        </is>
      </c>
      <c r="E310" s="4" t="inlineStr">
        <is>
          <t>Pendente</t>
        </is>
      </c>
      <c r="F310" s="4" t="inlineStr"/>
      <c r="G310" s="2">
        <f>IF(AND(E310="Concluída",LEN(TRIM(F310))&gt;0),1,0)</f>
        <v/>
      </c>
      <c r="H310" s="4" t="inlineStr"/>
    </row>
    <row r="311" ht="54" customHeight="1">
      <c r="A311" s="2" t="inlineStr">
        <is>
          <t>E031</t>
        </is>
      </c>
      <c r="B311" s="2" t="inlineStr">
        <is>
          <t>E031.10</t>
        </is>
      </c>
      <c r="C311" s="2" t="inlineStr">
        <is>
          <t>Registrar ativos, restrições e decisão visual sem declarar homologação inexistente.</t>
        </is>
      </c>
      <c r="D311" s="2" t="inlineStr">
        <is>
          <t>Direção de design e responsável pela marca</t>
        </is>
      </c>
      <c r="E311" s="4" t="inlineStr">
        <is>
          <t>Pendente</t>
        </is>
      </c>
      <c r="F311" s="4" t="inlineStr"/>
      <c r="G311" s="2">
        <f>IF(AND(E311="Concluída",LEN(TRIM(F311))&gt;0),1,0)</f>
        <v/>
      </c>
      <c r="H311" s="4" t="inlineStr"/>
    </row>
    <row r="312" ht="54" customHeight="1">
      <c r="A312" s="2" t="inlineStr">
        <is>
          <t>E032</t>
        </is>
      </c>
      <c r="B312" s="2" t="inlineStr">
        <is>
          <t>E032.01</t>
        </is>
      </c>
      <c r="C312" s="2" t="inlineStr">
        <is>
          <t>Definir contêineres e larguras máximas para conteúdo comercial e tabelas.</t>
        </is>
      </c>
      <c r="D312" s="2" t="inlineStr">
        <is>
          <t>Design de interface e Frontend</t>
        </is>
      </c>
      <c r="E312" s="4" t="inlineStr">
        <is>
          <t>Pendente</t>
        </is>
      </c>
      <c r="F312" s="4" t="inlineStr"/>
      <c r="G312" s="2">
        <f>IF(AND(E312="Concluída",LEN(TRIM(F312))&gt;0),1,0)</f>
        <v/>
      </c>
      <c r="H312" s="4" t="inlineStr"/>
    </row>
    <row r="313" ht="54" customHeight="1">
      <c r="A313" s="2" t="inlineStr">
        <is>
          <t>E032</t>
        </is>
      </c>
      <c r="B313" s="2" t="inlineStr">
        <is>
          <t>E032.02</t>
        </is>
      </c>
      <c r="C313" s="2" t="inlineStr">
        <is>
          <t>Criar escala de espaçamento reutilizável para campos e agrupamentos.</t>
        </is>
      </c>
      <c r="D313" s="2" t="inlineStr">
        <is>
          <t>Design de interface e Frontend</t>
        </is>
      </c>
      <c r="E313" s="4" t="inlineStr">
        <is>
          <t>Pendente</t>
        </is>
      </c>
      <c r="F313" s="4" t="inlineStr"/>
      <c r="G313" s="2">
        <f>IF(AND(E313="Concluída",LEN(TRIM(F313))&gt;0),1,0)</f>
        <v/>
      </c>
      <c r="H313" s="4" t="inlineStr"/>
    </row>
    <row r="314" ht="54" customHeight="1">
      <c r="A314" s="2" t="inlineStr">
        <is>
          <t>E032</t>
        </is>
      </c>
      <c r="B314" s="2" t="inlineStr">
        <is>
          <t>E032.03</t>
        </is>
      </c>
      <c r="C314" s="2" t="inlineStr">
        <is>
          <t>Definir margens e colunas por necessidade do conteúdo.</t>
        </is>
      </c>
      <c r="D314" s="2" t="inlineStr">
        <is>
          <t>Design de interface e Frontend</t>
        </is>
      </c>
      <c r="E314" s="4" t="inlineStr">
        <is>
          <t>Pendente</t>
        </is>
      </c>
      <c r="F314" s="4" t="inlineStr"/>
      <c r="G314" s="2">
        <f>IF(AND(E314="Concluída",LEN(TRIM(F314))&gt;0),1,0)</f>
        <v/>
      </c>
      <c r="H314" s="4" t="inlineStr"/>
    </row>
    <row r="315" ht="54" customHeight="1">
      <c r="A315" s="2" t="inlineStr">
        <is>
          <t>E032</t>
        </is>
      </c>
      <c r="B315" s="2" t="inlineStr">
        <is>
          <t>E032.04</t>
        </is>
      </c>
      <c r="C315" s="2" t="inlineStr">
        <is>
          <t>Estabelecer ritmo vertical entre título, instrução, dados e ação.</t>
        </is>
      </c>
      <c r="D315" s="2" t="inlineStr">
        <is>
          <t>Design de interface e Frontend</t>
        </is>
      </c>
      <c r="E315" s="4" t="inlineStr">
        <is>
          <t>Pendente</t>
        </is>
      </c>
      <c r="F315" s="4" t="inlineStr"/>
      <c r="G315" s="2">
        <f>IF(AND(E315="Concluída",LEN(TRIM(F315))&gt;0),1,0)</f>
        <v/>
      </c>
      <c r="H315" s="4" t="inlineStr"/>
    </row>
    <row r="316" ht="54" customHeight="1">
      <c r="A316" s="2" t="inlineStr">
        <is>
          <t>E032</t>
        </is>
      </c>
      <c r="B316" s="2" t="inlineStr">
        <is>
          <t>E032.05</t>
        </is>
      </c>
      <c r="C316" s="2" t="inlineStr">
        <is>
          <t>Separar densidade de consulta frequente da densidade de preenchimento.</t>
        </is>
      </c>
      <c r="D316" s="2" t="inlineStr">
        <is>
          <t>Design de interface e Frontend</t>
        </is>
      </c>
      <c r="E316" s="4" t="inlineStr">
        <is>
          <t>Pendente</t>
        </is>
      </c>
      <c r="F316" s="4" t="inlineStr"/>
      <c r="G316" s="2">
        <f>IF(AND(E316="Concluída",LEN(TRIM(F316))&gt;0),1,0)</f>
        <v/>
      </c>
      <c r="H316" s="4" t="inlineStr"/>
    </row>
    <row r="317" ht="54" customHeight="1">
      <c r="A317" s="2" t="inlineStr">
        <is>
          <t>E032</t>
        </is>
      </c>
      <c r="B317" s="2" t="inlineStr">
        <is>
          <t>E032.06</t>
        </is>
      </c>
      <c r="C317" s="2" t="inlineStr">
        <is>
          <t>Evitar que cabeçalhos fixos ocupem espaço excessivo em telas pequenas.</t>
        </is>
      </c>
      <c r="D317" s="2" t="inlineStr">
        <is>
          <t>Design de interface e Frontend</t>
        </is>
      </c>
      <c r="E317" s="4" t="inlineStr">
        <is>
          <t>Pendente</t>
        </is>
      </c>
      <c r="F317" s="4" t="inlineStr"/>
      <c r="G317" s="2">
        <f>IF(AND(E317="Concluída",LEN(TRIM(F317))&gt;0),1,0)</f>
        <v/>
      </c>
      <c r="H317" s="4" t="inlineStr"/>
    </row>
    <row r="318" ht="54" customHeight="1">
      <c r="A318" s="2" t="inlineStr">
        <is>
          <t>E032</t>
        </is>
      </c>
      <c r="B318" s="2" t="inlineStr">
        <is>
          <t>E032.07</t>
        </is>
      </c>
      <c r="C318" s="2" t="inlineStr">
        <is>
          <t>Definir quebra de colunas sem alterar a ordem lógica da leitura.</t>
        </is>
      </c>
      <c r="D318" s="2" t="inlineStr">
        <is>
          <t>Design de interface e Frontend</t>
        </is>
      </c>
      <c r="E318" s="4" t="inlineStr">
        <is>
          <t>Pendente</t>
        </is>
      </c>
      <c r="F318" s="4" t="inlineStr"/>
      <c r="G318" s="2">
        <f>IF(AND(E318="Concluída",LEN(TRIM(F318))&gt;0),1,0)</f>
        <v/>
      </c>
      <c r="H318" s="4" t="inlineStr"/>
    </row>
    <row r="319" ht="54" customHeight="1">
      <c r="A319" s="2" t="inlineStr">
        <is>
          <t>E032</t>
        </is>
      </c>
      <c r="B319" s="2" t="inlineStr">
        <is>
          <t>E032.08</t>
        </is>
      </c>
      <c r="C319" s="2" t="inlineStr">
        <is>
          <t>Testar nomes longos de cooperativas, produtos e centros de custo.</t>
        </is>
      </c>
      <c r="D319" s="2" t="inlineStr">
        <is>
          <t>Design de interface e Frontend</t>
        </is>
      </c>
      <c r="E319" s="4" t="inlineStr">
        <is>
          <t>Pendente</t>
        </is>
      </c>
      <c r="F319" s="4" t="inlineStr"/>
      <c r="G319" s="2">
        <f>IF(AND(E319="Concluída",LEN(TRIM(F319))&gt;0),1,0)</f>
        <v/>
      </c>
      <c r="H319" s="4" t="inlineStr"/>
    </row>
    <row r="320" ht="54" customHeight="1">
      <c r="A320" s="2" t="inlineStr">
        <is>
          <t>E032</t>
        </is>
      </c>
      <c r="B320" s="2" t="inlineStr">
        <is>
          <t>E032.09</t>
        </is>
      </c>
      <c r="C320" s="2" t="inlineStr">
        <is>
          <t>Mapear classes existentes para a escala e reduzir exceções locais.</t>
        </is>
      </c>
      <c r="D320" s="2" t="inlineStr">
        <is>
          <t>Design de interface e Frontend</t>
        </is>
      </c>
      <c r="E320" s="4" t="inlineStr">
        <is>
          <t>Pendente</t>
        </is>
      </c>
      <c r="F320" s="4" t="inlineStr"/>
      <c r="G320" s="2">
        <f>IF(AND(E320="Concluída",LEN(TRIM(F320))&gt;0),1,0)</f>
        <v/>
      </c>
      <c r="H320" s="4" t="inlineStr"/>
    </row>
    <row r="321" ht="54" customHeight="1">
      <c r="A321" s="2" t="inlineStr">
        <is>
          <t>E032</t>
        </is>
      </c>
      <c r="B321" s="2" t="inlineStr">
        <is>
          <t>E032.10</t>
        </is>
      </c>
      <c r="C321" s="2" t="inlineStr">
        <is>
          <t>Validar três telas representativas em diferentes larguras e níveis de ampliação.</t>
        </is>
      </c>
      <c r="D321" s="2" t="inlineStr">
        <is>
          <t>Design de interface e Frontend</t>
        </is>
      </c>
      <c r="E321" s="4" t="inlineStr">
        <is>
          <t>Pendente</t>
        </is>
      </c>
      <c r="F321" s="4" t="inlineStr"/>
      <c r="G321" s="2">
        <f>IF(AND(E321="Concluída",LEN(TRIM(F321))&gt;0),1,0)</f>
        <v/>
      </c>
      <c r="H321" s="4" t="inlineStr"/>
    </row>
    <row r="322" ht="54" customHeight="1">
      <c r="A322" s="2" t="inlineStr">
        <is>
          <t>E033</t>
        </is>
      </c>
      <c r="B322" s="2" t="inlineStr">
        <is>
          <t>E033.01</t>
        </is>
      </c>
      <c r="C322" s="2" t="inlineStr">
        <is>
          <t>Confirmar família institucional licenciada e fontes de substituição.</t>
        </is>
      </c>
      <c r="D322" s="2" t="inlineStr">
        <is>
          <t>Design de interface e Conteúdo</t>
        </is>
      </c>
      <c r="E322" s="4" t="inlineStr">
        <is>
          <t>Pendente</t>
        </is>
      </c>
      <c r="F322" s="4" t="inlineStr"/>
      <c r="G322" s="2">
        <f>IF(AND(E322="Concluída",LEN(TRIM(F322))&gt;0),1,0)</f>
        <v/>
      </c>
      <c r="H322" s="4" t="inlineStr"/>
    </row>
    <row r="323" ht="54" customHeight="1">
      <c r="A323" s="2" t="inlineStr">
        <is>
          <t>E033</t>
        </is>
      </c>
      <c r="B323" s="2" t="inlineStr">
        <is>
          <t>E033.02</t>
        </is>
      </c>
      <c r="C323" s="2" t="inlineStr">
        <is>
          <t>Definir estilos semânticos para títulos, corpo, legenda e dados.</t>
        </is>
      </c>
      <c r="D323" s="2" t="inlineStr">
        <is>
          <t>Design de interface e Conteúdo</t>
        </is>
      </c>
      <c r="E323" s="4" t="inlineStr">
        <is>
          <t>Pendente</t>
        </is>
      </c>
      <c r="F323" s="4" t="inlineStr"/>
      <c r="G323" s="2">
        <f>IF(AND(E323="Concluída",LEN(TRIM(F323))&gt;0),1,0)</f>
        <v/>
      </c>
      <c r="H323" s="4" t="inlineStr"/>
    </row>
    <row r="324" ht="54" customHeight="1">
      <c r="A324" s="2" t="inlineStr">
        <is>
          <t>E033</t>
        </is>
      </c>
      <c r="B324" s="2" t="inlineStr">
        <is>
          <t>E033.03</t>
        </is>
      </c>
      <c r="C324" s="2" t="inlineStr">
        <is>
          <t>Dimensionar entrelinha e largura de texto para leitura confortável.</t>
        </is>
      </c>
      <c r="D324" s="2" t="inlineStr">
        <is>
          <t>Design de interface e Conteúdo</t>
        </is>
      </c>
      <c r="E324" s="4" t="inlineStr">
        <is>
          <t>Pendente</t>
        </is>
      </c>
      <c r="F324" s="4" t="inlineStr"/>
      <c r="G324" s="2">
        <f>IF(AND(E324="Concluída",LEN(TRIM(F324))&gt;0),1,0)</f>
        <v/>
      </c>
      <c r="H324" s="4" t="inlineStr"/>
    </row>
    <row r="325" ht="54" customHeight="1">
      <c r="A325" s="2" t="inlineStr">
        <is>
          <t>E033</t>
        </is>
      </c>
      <c r="B325" s="2" t="inlineStr">
        <is>
          <t>E033.04</t>
        </is>
      </c>
      <c r="C325" s="2" t="inlineStr">
        <is>
          <t>Usar pesos com função clara, evitando excesso de variações.</t>
        </is>
      </c>
      <c r="D325" s="2" t="inlineStr">
        <is>
          <t>Design de interface e Conteúdo</t>
        </is>
      </c>
      <c r="E325" s="4" t="inlineStr">
        <is>
          <t>Pendente</t>
        </is>
      </c>
      <c r="F325" s="4" t="inlineStr"/>
      <c r="G325" s="2">
        <f>IF(AND(E325="Concluída",LEN(TRIM(F325))&gt;0),1,0)</f>
        <v/>
      </c>
      <c r="H325" s="4" t="inlineStr"/>
    </row>
    <row r="326" ht="54" customHeight="1">
      <c r="A326" s="2" t="inlineStr">
        <is>
          <t>E033</t>
        </is>
      </c>
      <c r="B326" s="2" t="inlineStr">
        <is>
          <t>E033.05</t>
        </is>
      </c>
      <c r="C326" s="2" t="inlineStr">
        <is>
          <t>Padronizar alinhamento e dígitos de preços, quantidades e saldos.</t>
        </is>
      </c>
      <c r="D326" s="2" t="inlineStr">
        <is>
          <t>Design de interface e Conteúdo</t>
        </is>
      </c>
      <c r="E326" s="4" t="inlineStr">
        <is>
          <t>Pendente</t>
        </is>
      </c>
      <c r="F326" s="4" t="inlineStr"/>
      <c r="G326" s="2">
        <f>IF(AND(E326="Concluída",LEN(TRIM(F326))&gt;0),1,0)</f>
        <v/>
      </c>
      <c r="H326" s="4" t="inlineStr"/>
    </row>
    <row r="327" ht="54" customHeight="1">
      <c r="A327" s="2" t="inlineStr">
        <is>
          <t>E033</t>
        </is>
      </c>
      <c r="B327" s="2" t="inlineStr">
        <is>
          <t>E033.06</t>
        </is>
      </c>
      <c r="C327" s="2" t="inlineStr">
        <is>
          <t>Preservar hierarquia de títulos na estrutura semântica da página.</t>
        </is>
      </c>
      <c r="D327" s="2" t="inlineStr">
        <is>
          <t>Design de interface e Conteúdo</t>
        </is>
      </c>
      <c r="E327" s="4" t="inlineStr">
        <is>
          <t>Pendente</t>
        </is>
      </c>
      <c r="F327" s="4" t="inlineStr"/>
      <c r="G327" s="2">
        <f>IF(AND(E327="Concluída",LEN(TRIM(F327))&gt;0),1,0)</f>
        <v/>
      </c>
      <c r="H327" s="4" t="inlineStr"/>
    </row>
    <row r="328" ht="54" customHeight="1">
      <c r="A328" s="2" t="inlineStr">
        <is>
          <t>E033</t>
        </is>
      </c>
      <c r="B328" s="2" t="inlineStr">
        <is>
          <t>E033.07</t>
        </is>
      </c>
      <c r="C328" s="2" t="inlineStr">
        <is>
          <t>Evitar textos operacionais pequenos para acomodar mais conteúdo.</t>
        </is>
      </c>
      <c r="D328" s="2" t="inlineStr">
        <is>
          <t>Design de interface e Conteúdo</t>
        </is>
      </c>
      <c r="E328" s="4" t="inlineStr">
        <is>
          <t>Pendente</t>
        </is>
      </c>
      <c r="F328" s="4" t="inlineStr"/>
      <c r="G328" s="2">
        <f>IF(AND(E328="Concluída",LEN(TRIM(F328))&gt;0),1,0)</f>
        <v/>
      </c>
      <c r="H328" s="4" t="inlineStr"/>
    </row>
    <row r="329" ht="54" customHeight="1">
      <c r="A329" s="2" t="inlineStr">
        <is>
          <t>E033</t>
        </is>
      </c>
      <c r="B329" s="2" t="inlineStr">
        <is>
          <t>E033.08</t>
        </is>
      </c>
      <c r="C329" s="2" t="inlineStr">
        <is>
          <t>Definir carregamento de fontes sem bloquear a apresentação inicial.</t>
        </is>
      </c>
      <c r="D329" s="2" t="inlineStr">
        <is>
          <t>Design de interface e Conteúdo</t>
        </is>
      </c>
      <c r="E329" s="4" t="inlineStr">
        <is>
          <t>Pendente</t>
        </is>
      </c>
      <c r="F329" s="4" t="inlineStr"/>
      <c r="G329" s="2">
        <f>IF(AND(E329="Concluída",LEN(TRIM(F329))&gt;0),1,0)</f>
        <v/>
      </c>
      <c r="H329" s="4" t="inlineStr"/>
    </row>
    <row r="330" ht="54" customHeight="1">
      <c r="A330" s="2" t="inlineStr">
        <is>
          <t>E033</t>
        </is>
      </c>
      <c r="B330" s="2" t="inlineStr">
        <is>
          <t>E033.09</t>
        </is>
      </c>
      <c r="C330" s="2" t="inlineStr">
        <is>
          <t>Testar substituição de fonte e aumento de tamanho do texto.</t>
        </is>
      </c>
      <c r="D330" s="2" t="inlineStr">
        <is>
          <t>Design de interface e Conteúdo</t>
        </is>
      </c>
      <c r="E330" s="4" t="inlineStr">
        <is>
          <t>Pendente</t>
        </is>
      </c>
      <c r="F330" s="4" t="inlineStr"/>
      <c r="G330" s="2">
        <f>IF(AND(E330="Concluída",LEN(TRIM(F330))&gt;0),1,0)</f>
        <v/>
      </c>
      <c r="H330" s="4" t="inlineStr"/>
    </row>
    <row r="331" ht="54" customHeight="1">
      <c r="A331" s="2" t="inlineStr">
        <is>
          <t>E033</t>
        </is>
      </c>
      <c r="B331" s="2" t="inlineStr">
        <is>
          <t>E033.10</t>
        </is>
      </c>
      <c r="C331" s="2" t="inlineStr">
        <is>
          <t>Validar leitura de proposta, tabela de pedidos e formulário em telas reais.</t>
        </is>
      </c>
      <c r="D331" s="2" t="inlineStr">
        <is>
          <t>Design de interface e Conteúdo</t>
        </is>
      </c>
      <c r="E331" s="4" t="inlineStr">
        <is>
          <t>Pendente</t>
        </is>
      </c>
      <c r="F331" s="4" t="inlineStr"/>
      <c r="G331" s="2">
        <f>IF(AND(E331="Concluída",LEN(TRIM(F331))&gt;0),1,0)</f>
        <v/>
      </c>
      <c r="H331" s="4" t="inlineStr"/>
    </row>
    <row r="332" ht="54" customHeight="1">
      <c r="A332" s="2" t="inlineStr">
        <is>
          <t>E034</t>
        </is>
      </c>
      <c r="B332" s="2" t="inlineStr">
        <is>
          <t>E034.01</t>
        </is>
      </c>
      <c r="C332" s="2" t="inlineStr">
        <is>
          <t>Mapear cores institucionais para superfícies, texto, bordas e ações.</t>
        </is>
      </c>
      <c r="D332" s="2" t="inlineStr">
        <is>
          <t>Design de interface e Acessibilidade</t>
        </is>
      </c>
      <c r="E332" s="4" t="inlineStr">
        <is>
          <t>Pendente</t>
        </is>
      </c>
      <c r="F332" s="4" t="inlineStr"/>
      <c r="G332" s="2">
        <f>IF(AND(E332="Concluída",LEN(TRIM(F332))&gt;0),1,0)</f>
        <v/>
      </c>
      <c r="H332" s="4" t="inlineStr"/>
    </row>
    <row r="333" ht="54" customHeight="1">
      <c r="A333" s="2" t="inlineStr">
        <is>
          <t>E034</t>
        </is>
      </c>
      <c r="B333" s="2" t="inlineStr">
        <is>
          <t>E034.02</t>
        </is>
      </c>
      <c r="C333" s="2" t="inlineStr">
        <is>
          <t>Reservar cores de sucesso, aviso e erro para significados consistentes.</t>
        </is>
      </c>
      <c r="D333" s="2" t="inlineStr">
        <is>
          <t>Design de interface e Acessibilidade</t>
        </is>
      </c>
      <c r="E333" s="4" t="inlineStr">
        <is>
          <t>Pendente</t>
        </is>
      </c>
      <c r="F333" s="4" t="inlineStr"/>
      <c r="G333" s="2">
        <f>IF(AND(E333="Concluída",LEN(TRIM(F333))&gt;0),1,0)</f>
        <v/>
      </c>
      <c r="H333" s="4" t="inlineStr"/>
    </row>
    <row r="334" ht="54" customHeight="1">
      <c r="A334" s="2" t="inlineStr">
        <is>
          <t>E034</t>
        </is>
      </c>
      <c r="B334" s="2" t="inlineStr">
        <is>
          <t>E034.03</t>
        </is>
      </c>
      <c r="C334" s="2" t="inlineStr">
        <is>
          <t>Definir combinações aprovadas para estado normal, foco e seleção.</t>
        </is>
      </c>
      <c r="D334" s="2" t="inlineStr">
        <is>
          <t>Design de interface e Acessibilidade</t>
        </is>
      </c>
      <c r="E334" s="4" t="inlineStr">
        <is>
          <t>Pendente</t>
        </is>
      </c>
      <c r="F334" s="4" t="inlineStr"/>
      <c r="G334" s="2">
        <f>IF(AND(E334="Concluída",LEN(TRIM(F334))&gt;0),1,0)</f>
        <v/>
      </c>
      <c r="H334" s="4" t="inlineStr"/>
    </row>
    <row r="335" ht="54" customHeight="1">
      <c r="A335" s="2" t="inlineStr">
        <is>
          <t>E034</t>
        </is>
      </c>
      <c r="B335" s="2" t="inlineStr">
        <is>
          <t>E034.04</t>
        </is>
      </c>
      <c r="C335" s="2" t="inlineStr">
        <is>
          <t>Evitar texto branco normal sobre o turquesa de contraste insuficiente.</t>
        </is>
      </c>
      <c r="D335" s="2" t="inlineStr">
        <is>
          <t>Design de interface e Acessibilidade</t>
        </is>
      </c>
      <c r="E335" s="4" t="inlineStr">
        <is>
          <t>Pendente</t>
        </is>
      </c>
      <c r="F335" s="4" t="inlineStr"/>
      <c r="G335" s="2">
        <f>IF(AND(E335="Concluída",LEN(TRIM(F335))&gt;0),1,0)</f>
        <v/>
      </c>
      <c r="H335" s="4" t="inlineStr"/>
    </row>
    <row r="336" ht="54" customHeight="1">
      <c r="A336" s="2" t="inlineStr">
        <is>
          <t>E034</t>
        </is>
      </c>
      <c r="B336" s="2" t="inlineStr">
        <is>
          <t>E034.05</t>
        </is>
      </c>
      <c r="C336" s="2" t="inlineStr">
        <is>
          <t>Calcular contraste mínimo de 4,5:1 para texto normal aplicável.</t>
        </is>
      </c>
      <c r="D336" s="2" t="inlineStr">
        <is>
          <t>Design de interface e Acessibilidade</t>
        </is>
      </c>
      <c r="E336" s="4" t="inlineStr">
        <is>
          <t>Pendente</t>
        </is>
      </c>
      <c r="F336" s="4" t="inlineStr"/>
      <c r="G336" s="2">
        <f>IF(AND(E336="Concluída",LEN(TRIM(F336))&gt;0),1,0)</f>
        <v/>
      </c>
      <c r="H336" s="4" t="inlineStr"/>
    </row>
    <row r="337" ht="54" customHeight="1">
      <c r="A337" s="2" t="inlineStr">
        <is>
          <t>E034</t>
        </is>
      </c>
      <c r="B337" s="2" t="inlineStr">
        <is>
          <t>E034.06</t>
        </is>
      </c>
      <c r="C337" s="2" t="inlineStr">
        <is>
          <t>Verificar contraste de texto grande e informação essencial de controles.</t>
        </is>
      </c>
      <c r="D337" s="2" t="inlineStr">
        <is>
          <t>Design de interface e Acessibilidade</t>
        </is>
      </c>
      <c r="E337" s="4" t="inlineStr">
        <is>
          <t>Pendente</t>
        </is>
      </c>
      <c r="F337" s="4" t="inlineStr"/>
      <c r="G337" s="2">
        <f>IF(AND(E337="Concluída",LEN(TRIM(F337))&gt;0),1,0)</f>
        <v/>
      </c>
      <c r="H337" s="4" t="inlineStr"/>
    </row>
    <row r="338" ht="54" customHeight="1">
      <c r="A338" s="2" t="inlineStr">
        <is>
          <t>E034</t>
        </is>
      </c>
      <c r="B338" s="2" t="inlineStr">
        <is>
          <t>E034.07</t>
        </is>
      </c>
      <c r="C338" s="2" t="inlineStr">
        <is>
          <t>Adicionar rótulo ou ícone com texto aos estados relevantes.</t>
        </is>
      </c>
      <c r="D338" s="2" t="inlineStr">
        <is>
          <t>Design de interface e Acessibilidade</t>
        </is>
      </c>
      <c r="E338" s="4" t="inlineStr">
        <is>
          <t>Pendente</t>
        </is>
      </c>
      <c r="F338" s="4" t="inlineStr"/>
      <c r="G338" s="2">
        <f>IF(AND(E338="Concluída",LEN(TRIM(F338))&gt;0),1,0)</f>
        <v/>
      </c>
      <c r="H338" s="4" t="inlineStr"/>
    </row>
    <row r="339" ht="54" customHeight="1">
      <c r="A339" s="2" t="inlineStr">
        <is>
          <t>E034</t>
        </is>
      </c>
      <c r="B339" s="2" t="inlineStr">
        <is>
          <t>E034.08</t>
        </is>
      </c>
      <c r="C339" s="2" t="inlineStr">
        <is>
          <t>Testar visualização sem cor e em configurações de alto contraste.</t>
        </is>
      </c>
      <c r="D339" s="2" t="inlineStr">
        <is>
          <t>Design de interface e Acessibilidade</t>
        </is>
      </c>
      <c r="E339" s="4" t="inlineStr">
        <is>
          <t>Pendente</t>
        </is>
      </c>
      <c r="F339" s="4" t="inlineStr"/>
      <c r="G339" s="2">
        <f>IF(AND(E339="Concluída",LEN(TRIM(F339))&gt;0),1,0)</f>
        <v/>
      </c>
      <c r="H339" s="4" t="inlineStr"/>
    </row>
    <row r="340" ht="54" customHeight="1">
      <c r="A340" s="2" t="inlineStr">
        <is>
          <t>E034</t>
        </is>
      </c>
      <c r="B340" s="2" t="inlineStr">
        <is>
          <t>E034.09</t>
        </is>
      </c>
      <c r="C340" s="2" t="inlineStr">
        <is>
          <t>Documentar combinações proibidas e alternativas para o mesmo uso.</t>
        </is>
      </c>
      <c r="D340" s="2" t="inlineStr">
        <is>
          <t>Design de interface e Acessibilidade</t>
        </is>
      </c>
      <c r="E340" s="4" t="inlineStr">
        <is>
          <t>Pendente</t>
        </is>
      </c>
      <c r="F340" s="4" t="inlineStr"/>
      <c r="G340" s="2">
        <f>IF(AND(E340="Concluída",LEN(TRIM(F340))&gt;0),1,0)</f>
        <v/>
      </c>
      <c r="H340" s="4" t="inlineStr"/>
    </row>
    <row r="341" ht="54" customHeight="1">
      <c r="A341" s="2" t="inlineStr">
        <is>
          <t>E034</t>
        </is>
      </c>
      <c r="B341" s="2" t="inlineStr">
        <is>
          <t>E034.10</t>
        </is>
      </c>
      <c r="C341" s="2" t="inlineStr">
        <is>
          <t>Validar a paleta nas telas de login, catálogo, verba e aprovação.</t>
        </is>
      </c>
      <c r="D341" s="2" t="inlineStr">
        <is>
          <t>Design de interface e Acessibilidade</t>
        </is>
      </c>
      <c r="E341" s="4" t="inlineStr">
        <is>
          <t>Pendente</t>
        </is>
      </c>
      <c r="F341" s="4" t="inlineStr"/>
      <c r="G341" s="2">
        <f>IF(AND(E341="Concluída",LEN(TRIM(F341))&gt;0),1,0)</f>
        <v/>
      </c>
      <c r="H341" s="4" t="inlineStr"/>
    </row>
    <row r="342" ht="54" customHeight="1">
      <c r="A342" s="2" t="inlineStr">
        <is>
          <t>E035</t>
        </is>
      </c>
      <c r="B342" s="2" t="inlineStr">
        <is>
          <t>E035.01</t>
        </is>
      </c>
      <c r="C342" s="2" t="inlineStr">
        <is>
          <t>Definir proporção, enquadramento e fundo para imagens de catálogo.</t>
        </is>
      </c>
      <c r="D342" s="2" t="inlineStr">
        <is>
          <t>Design e Conteúdo de catálogo</t>
        </is>
      </c>
      <c r="E342" s="4" t="inlineStr">
        <is>
          <t>Pendente</t>
        </is>
      </c>
      <c r="F342" s="4" t="inlineStr"/>
      <c r="G342" s="2">
        <f>IF(AND(E342="Concluída",LEN(TRIM(F342))&gt;0),1,0)</f>
        <v/>
      </c>
      <c r="H342" s="4" t="inlineStr"/>
    </row>
    <row r="343" ht="54" customHeight="1">
      <c r="A343" s="2" t="inlineStr">
        <is>
          <t>E035</t>
        </is>
      </c>
      <c r="B343" s="2" t="inlineStr">
        <is>
          <t>E035.02</t>
        </is>
      </c>
      <c r="C343" s="2" t="inlineStr">
        <is>
          <t>Preservar referência visual de escala, material e detalhes relevantes.</t>
        </is>
      </c>
      <c r="D343" s="2" t="inlineStr">
        <is>
          <t>Design e Conteúdo de catálogo</t>
        </is>
      </c>
      <c r="E343" s="4" t="inlineStr">
        <is>
          <t>Pendente</t>
        </is>
      </c>
      <c r="F343" s="4" t="inlineStr"/>
      <c r="G343" s="2">
        <f>IF(AND(E343="Concluída",LEN(TRIM(F343))&gt;0),1,0)</f>
        <v/>
      </c>
      <c r="H343" s="4" t="inlineStr"/>
    </row>
    <row r="344" ht="54" customHeight="1">
      <c r="A344" s="2" t="inlineStr">
        <is>
          <t>E035</t>
        </is>
      </c>
      <c r="B344" s="2" t="inlineStr">
        <is>
          <t>E035.03</t>
        </is>
      </c>
      <c r="C344" s="2" t="inlineStr">
        <is>
          <t>Relacionar imagens corretamente à variante selecionada.</t>
        </is>
      </c>
      <c r="D344" s="2" t="inlineStr">
        <is>
          <t>Design e Conteúdo de catálogo</t>
        </is>
      </c>
      <c r="E344" s="4" t="inlineStr">
        <is>
          <t>Pendente</t>
        </is>
      </c>
      <c r="F344" s="4" t="inlineStr"/>
      <c r="G344" s="2">
        <f>IF(AND(E344="Concluída",LEN(TRIM(F344))&gt;0),1,0)</f>
        <v/>
      </c>
      <c r="H344" s="4" t="inlineStr"/>
    </row>
    <row r="345" ht="54" customHeight="1">
      <c r="A345" s="2" t="inlineStr">
        <is>
          <t>E035</t>
        </is>
      </c>
      <c r="B345" s="2" t="inlineStr">
        <is>
          <t>E035.04</t>
        </is>
      </c>
      <c r="C345" s="2" t="inlineStr">
        <is>
          <t>Separar fotografia real de mockup ilustrativo com identificação visível.</t>
        </is>
      </c>
      <c r="D345" s="2" t="inlineStr">
        <is>
          <t>Design e Conteúdo de catálogo</t>
        </is>
      </c>
      <c r="E345" s="4" t="inlineStr">
        <is>
          <t>Pendente</t>
        </is>
      </c>
      <c r="F345" s="4" t="inlineStr"/>
      <c r="G345" s="2">
        <f>IF(AND(E345="Concluída",LEN(TRIM(F345))&gt;0),1,0)</f>
        <v/>
      </c>
      <c r="H345" s="4" t="inlineStr"/>
    </row>
    <row r="346" ht="54" customHeight="1">
      <c r="A346" s="2" t="inlineStr">
        <is>
          <t>E035</t>
        </is>
      </c>
      <c r="B346" s="2" t="inlineStr">
        <is>
          <t>E035.05</t>
        </is>
      </c>
      <c r="C346" s="2" t="inlineStr">
        <is>
          <t>Definir imagens de apoio para técnica e área de personalização.</t>
        </is>
      </c>
      <c r="D346" s="2" t="inlineStr">
        <is>
          <t>Design e Conteúdo de catálogo</t>
        </is>
      </c>
      <c r="E346" s="4" t="inlineStr">
        <is>
          <t>Pendente</t>
        </is>
      </c>
      <c r="F346" s="4" t="inlineStr"/>
      <c r="G346" s="2">
        <f>IF(AND(E346="Concluída",LEN(TRIM(F346))&gt;0),1,0)</f>
        <v/>
      </c>
      <c r="H346" s="4" t="inlineStr"/>
    </row>
    <row r="347" ht="54" customHeight="1">
      <c r="A347" s="2" t="inlineStr">
        <is>
          <t>E035</t>
        </is>
      </c>
      <c r="B347" s="2" t="inlineStr">
        <is>
          <t>E035.06</t>
        </is>
      </c>
      <c r="C347" s="2" t="inlineStr">
        <is>
          <t>Padronizar um conjunto de ícones compatível com a interface existente.</t>
        </is>
      </c>
      <c r="D347" s="2" t="inlineStr">
        <is>
          <t>Design e Conteúdo de catálogo</t>
        </is>
      </c>
      <c r="E347" s="4" t="inlineStr">
        <is>
          <t>Pendente</t>
        </is>
      </c>
      <c r="F347" s="4" t="inlineStr"/>
      <c r="G347" s="2">
        <f>IF(AND(E347="Concluída",LEN(TRIM(F347))&gt;0),1,0)</f>
        <v/>
      </c>
      <c r="H347" s="4" t="inlineStr"/>
    </row>
    <row r="348" ht="54" customHeight="1">
      <c r="A348" s="2" t="inlineStr">
        <is>
          <t>E035</t>
        </is>
      </c>
      <c r="B348" s="2" t="inlineStr">
        <is>
          <t>E035.07</t>
        </is>
      </c>
      <c r="C348" s="2" t="inlineStr">
        <is>
          <t>Evitar depender de ícone sem rótulo em ações pouco familiares.</t>
        </is>
      </c>
      <c r="D348" s="2" t="inlineStr">
        <is>
          <t>Design e Conteúdo de catálogo</t>
        </is>
      </c>
      <c r="E348" s="4" t="inlineStr">
        <is>
          <t>Pendente</t>
        </is>
      </c>
      <c r="F348" s="4" t="inlineStr"/>
      <c r="G348" s="2">
        <f>IF(AND(E348="Concluída",LEN(TRIM(F348))&gt;0),1,0)</f>
        <v/>
      </c>
      <c r="H348" s="4" t="inlineStr"/>
    </row>
    <row r="349" ht="54" customHeight="1">
      <c r="A349" s="2" t="inlineStr">
        <is>
          <t>E035</t>
        </is>
      </c>
      <c r="B349" s="2" t="inlineStr">
        <is>
          <t>E035.08</t>
        </is>
      </c>
      <c r="C349" s="2" t="inlineStr">
        <is>
          <t>Escrever textos alternativos adequados à função da imagem.</t>
        </is>
      </c>
      <c r="D349" s="2" t="inlineStr">
        <is>
          <t>Design e Conteúdo de catálogo</t>
        </is>
      </c>
      <c r="E349" s="4" t="inlineStr">
        <is>
          <t>Pendente</t>
        </is>
      </c>
      <c r="F349" s="4" t="inlineStr"/>
      <c r="G349" s="2">
        <f>IF(AND(E349="Concluída",LEN(TRIM(F349))&gt;0),1,0)</f>
        <v/>
      </c>
      <c r="H349" s="4" t="inlineStr"/>
    </row>
    <row r="350" ht="54" customHeight="1">
      <c r="A350" s="2" t="inlineStr">
        <is>
          <t>E035</t>
        </is>
      </c>
      <c r="B350" s="2" t="inlineStr">
        <is>
          <t>E035.09</t>
        </is>
      </c>
      <c r="C350" s="2" t="inlineStr">
        <is>
          <t>Preparar fallback de mídia que não pareça produto disponível confirmado.</t>
        </is>
      </c>
      <c r="D350" s="2" t="inlineStr">
        <is>
          <t>Design e Conteúdo de catálogo</t>
        </is>
      </c>
      <c r="E350" s="4" t="inlineStr">
        <is>
          <t>Pendente</t>
        </is>
      </c>
      <c r="F350" s="4" t="inlineStr"/>
      <c r="G350" s="2">
        <f>IF(AND(E350="Concluída",LEN(TRIM(F350))&gt;0),1,0)</f>
        <v/>
      </c>
      <c r="H350" s="4" t="inlineStr"/>
    </row>
    <row r="351" ht="54" customHeight="1">
      <c r="A351" s="2" t="inlineStr">
        <is>
          <t>E035</t>
        </is>
      </c>
      <c r="B351" s="2" t="inlineStr">
        <is>
          <t>E035.10</t>
        </is>
      </c>
      <c r="C351" s="2" t="inlineStr">
        <is>
          <t>Revisar amostra de categorias e comprovar carregamento dos ativos autorizados.</t>
        </is>
      </c>
      <c r="D351" s="2" t="inlineStr">
        <is>
          <t>Design e Conteúdo de catálogo</t>
        </is>
      </c>
      <c r="E351" s="4" t="inlineStr">
        <is>
          <t>Pendente</t>
        </is>
      </c>
      <c r="F351" s="4" t="inlineStr"/>
      <c r="G351" s="2">
        <f>IF(AND(E351="Concluída",LEN(TRIM(F351))&gt;0),1,0)</f>
        <v/>
      </c>
      <c r="H351" s="4" t="inlineStr"/>
    </row>
    <row r="352" ht="54" customHeight="1">
      <c r="A352" s="2" t="inlineStr">
        <is>
          <t>E036</t>
        </is>
      </c>
      <c r="B352" s="2" t="inlineStr">
        <is>
          <t>E036.01</t>
        </is>
      </c>
      <c r="C352" s="2" t="inlineStr">
        <is>
          <t>Inventariar cores, fontes, espaçamentos e elevações já existentes.</t>
        </is>
      </c>
      <c r="D352" s="2" t="inlineStr">
        <is>
          <t>Frontend e Design de sistemas</t>
        </is>
      </c>
      <c r="E352" s="4" t="inlineStr">
        <is>
          <t>Pendente</t>
        </is>
      </c>
      <c r="F352" s="4" t="inlineStr"/>
      <c r="G352" s="2">
        <f>IF(AND(E352="Concluída",LEN(TRIM(F352))&gt;0),1,0)</f>
        <v/>
      </c>
      <c r="H352" s="4" t="inlineStr"/>
    </row>
    <row r="353" ht="54" customHeight="1">
      <c r="A353" s="2" t="inlineStr">
        <is>
          <t>E036</t>
        </is>
      </c>
      <c r="B353" s="2" t="inlineStr">
        <is>
          <t>E036.02</t>
        </is>
      </c>
      <c r="C353" s="2" t="inlineStr">
        <is>
          <t>Definir nomes semânticos para os tokens efetivamente necessários.</t>
        </is>
      </c>
      <c r="D353" s="2" t="inlineStr">
        <is>
          <t>Frontend e Design de sistemas</t>
        </is>
      </c>
      <c r="E353" s="4" t="inlineStr">
        <is>
          <t>Pendente</t>
        </is>
      </c>
      <c r="F353" s="4" t="inlineStr"/>
      <c r="G353" s="2">
        <f>IF(AND(E353="Concluída",LEN(TRIM(F353))&gt;0),1,0)</f>
        <v/>
      </c>
      <c r="H353" s="4" t="inlineStr"/>
    </row>
    <row r="354" ht="54" customHeight="1">
      <c r="A354" s="2" t="inlineStr">
        <is>
          <t>E036</t>
        </is>
      </c>
      <c r="B354" s="2" t="inlineStr">
        <is>
          <t>E036.03</t>
        </is>
      </c>
      <c r="C354" s="2" t="inlineStr">
        <is>
          <t>Mapear valores institucionais para variáveis centralizadas.</t>
        </is>
      </c>
      <c r="D354" s="2" t="inlineStr">
        <is>
          <t>Frontend e Design de sistemas</t>
        </is>
      </c>
      <c r="E354" s="4" t="inlineStr">
        <is>
          <t>Pendente</t>
        </is>
      </c>
      <c r="F354" s="4" t="inlineStr"/>
      <c r="G354" s="2">
        <f>IF(AND(E354="Concluída",LEN(TRIM(F354))&gt;0),1,0)</f>
        <v/>
      </c>
      <c r="H354" s="4" t="inlineStr"/>
    </row>
    <row r="355" ht="54" customHeight="1">
      <c r="A355" s="2" t="inlineStr">
        <is>
          <t>E036</t>
        </is>
      </c>
      <c r="B355" s="2" t="inlineStr">
        <is>
          <t>E036.04</t>
        </is>
      </c>
      <c r="C355" s="2" t="inlineStr">
        <is>
          <t>Separar token de marca de token de estado e interação.</t>
        </is>
      </c>
      <c r="D355" s="2" t="inlineStr">
        <is>
          <t>Frontend e Design de sistemas</t>
        </is>
      </c>
      <c r="E355" s="4" t="inlineStr">
        <is>
          <t>Pendente</t>
        </is>
      </c>
      <c r="F355" s="4" t="inlineStr"/>
      <c r="G355" s="2">
        <f>IF(AND(E355="Concluída",LEN(TRIM(F355))&gt;0),1,0)</f>
        <v/>
      </c>
      <c r="H355" s="4" t="inlineStr"/>
    </row>
    <row r="356" ht="54" customHeight="1">
      <c r="A356" s="2" t="inlineStr">
        <is>
          <t>E036</t>
        </is>
      </c>
      <c r="B356" s="2" t="inlineStr">
        <is>
          <t>E036.05</t>
        </is>
      </c>
      <c r="C356" s="2" t="inlineStr">
        <is>
          <t>Unificar estilos repetidos nas páginas priorizadas sem refatoração ampla.</t>
        </is>
      </c>
      <c r="D356" s="2" t="inlineStr">
        <is>
          <t>Frontend e Design de sistemas</t>
        </is>
      </c>
      <c r="E356" s="4" t="inlineStr">
        <is>
          <t>Pendente</t>
        </is>
      </c>
      <c r="F356" s="4" t="inlineStr"/>
      <c r="G356" s="2">
        <f>IF(AND(E356="Concluída",LEN(TRIM(F356))&gt;0),1,0)</f>
        <v/>
      </c>
      <c r="H356" s="4" t="inlineStr"/>
    </row>
    <row r="357" ht="54" customHeight="1">
      <c r="A357" s="2" t="inlineStr">
        <is>
          <t>E036</t>
        </is>
      </c>
      <c r="B357" s="2" t="inlineStr">
        <is>
          <t>E036.06</t>
        </is>
      </c>
      <c r="C357" s="2" t="inlineStr">
        <is>
          <t>Documentar contratos de borda, raio e sombra com uso moderado.</t>
        </is>
      </c>
      <c r="D357" s="2" t="inlineStr">
        <is>
          <t>Frontend e Design de sistemas</t>
        </is>
      </c>
      <c r="E357" s="4" t="inlineStr">
        <is>
          <t>Pendente</t>
        </is>
      </c>
      <c r="F357" s="4" t="inlineStr"/>
      <c r="G357" s="2">
        <f>IF(AND(E357="Concluída",LEN(TRIM(F357))&gt;0),1,0)</f>
        <v/>
      </c>
      <c r="H357" s="4" t="inlineStr"/>
    </row>
    <row r="358" ht="54" customHeight="1">
      <c r="A358" s="2" t="inlineStr">
        <is>
          <t>E036</t>
        </is>
      </c>
      <c r="B358" s="2" t="inlineStr">
        <is>
          <t>E036.07</t>
        </is>
      </c>
      <c r="C358" s="2" t="inlineStr">
        <is>
          <t>Definir tokens para foco e áreas de interação.</t>
        </is>
      </c>
      <c r="D358" s="2" t="inlineStr">
        <is>
          <t>Frontend e Design de sistemas</t>
        </is>
      </c>
      <c r="E358" s="4" t="inlineStr">
        <is>
          <t>Pendente</t>
        </is>
      </c>
      <c r="F358" s="4" t="inlineStr"/>
      <c r="G358" s="2">
        <f>IF(AND(E358="Concluída",LEN(TRIM(F358))&gt;0),1,0)</f>
        <v/>
      </c>
      <c r="H358" s="4" t="inlineStr"/>
    </row>
    <row r="359" ht="54" customHeight="1">
      <c r="A359" s="2" t="inlineStr">
        <is>
          <t>E036</t>
        </is>
      </c>
      <c r="B359" s="2" t="inlineStr">
        <is>
          <t>E036.08</t>
        </is>
      </c>
      <c r="C359" s="2" t="inlineStr">
        <is>
          <t>Implementar exemplos que demonstrem alteração de tema com consistência.</t>
        </is>
      </c>
      <c r="D359" s="2" t="inlineStr">
        <is>
          <t>Frontend e Design de sistemas</t>
        </is>
      </c>
      <c r="E359" s="4" t="inlineStr">
        <is>
          <t>Pendente</t>
        </is>
      </c>
      <c r="F359" s="4" t="inlineStr"/>
      <c r="G359" s="2">
        <f>IF(AND(E359="Concluída",LEN(TRIM(F359))&gt;0),1,0)</f>
        <v/>
      </c>
      <c r="H359" s="4" t="inlineStr"/>
    </row>
    <row r="360" ht="54" customHeight="1">
      <c r="A360" s="2" t="inlineStr">
        <is>
          <t>E036</t>
        </is>
      </c>
      <c r="B360" s="2" t="inlineStr">
        <is>
          <t>E036.09</t>
        </is>
      </c>
      <c r="C360" s="2" t="inlineStr">
        <is>
          <t>Verificar contrastes após aplicar tokens aos componentes reais.</t>
        </is>
      </c>
      <c r="D360" s="2" t="inlineStr">
        <is>
          <t>Frontend e Design de sistemas</t>
        </is>
      </c>
      <c r="E360" s="4" t="inlineStr">
        <is>
          <t>Pendente</t>
        </is>
      </c>
      <c r="F360" s="4" t="inlineStr"/>
      <c r="G360" s="2">
        <f>IF(AND(E360="Concluída",LEN(TRIM(F360))&gt;0),1,0)</f>
        <v/>
      </c>
      <c r="H360" s="4" t="inlineStr"/>
    </row>
    <row r="361" ht="54" customHeight="1">
      <c r="A361" s="2" t="inlineStr">
        <is>
          <t>E036</t>
        </is>
      </c>
      <c r="B361" s="2" t="inlineStr">
        <is>
          <t>E036.10</t>
        </is>
      </c>
      <c r="C361" s="2" t="inlineStr">
        <is>
          <t>Revisar a correspondência entre especificação visual e estilos entregues.</t>
        </is>
      </c>
      <c r="D361" s="2" t="inlineStr">
        <is>
          <t>Frontend e Design de sistemas</t>
        </is>
      </c>
      <c r="E361" s="4" t="inlineStr">
        <is>
          <t>Pendente</t>
        </is>
      </c>
      <c r="F361" s="4" t="inlineStr"/>
      <c r="G361" s="2">
        <f>IF(AND(E361="Concluída",LEN(TRIM(F361))&gt;0),1,0)</f>
        <v/>
      </c>
      <c r="H361" s="4" t="inlineStr"/>
    </row>
    <row r="362" ht="54" customHeight="1">
      <c r="A362" s="2" t="inlineStr">
        <is>
          <t>E037</t>
        </is>
      </c>
      <c r="B362" s="2" t="inlineStr">
        <is>
          <t>E037.01</t>
        </is>
      </c>
      <c r="C362" s="2" t="inlineStr">
        <is>
          <t>Definir hierarquia de botão principal, secundário e ação destrutiva.</t>
        </is>
      </c>
      <c r="D362" s="2" t="inlineStr">
        <is>
          <t>Frontend, Design e Acessibilidade</t>
        </is>
      </c>
      <c r="E362" s="4" t="inlineStr">
        <is>
          <t>Pendente</t>
        </is>
      </c>
      <c r="F362" s="4" t="inlineStr"/>
      <c r="G362" s="2">
        <f>IF(AND(E362="Concluída",LEN(TRIM(F362))&gt;0),1,0)</f>
        <v/>
      </c>
      <c r="H362" s="4" t="inlineStr"/>
    </row>
    <row r="363" ht="54" customHeight="1">
      <c r="A363" s="2" t="inlineStr">
        <is>
          <t>E037</t>
        </is>
      </c>
      <c r="B363" s="2" t="inlineStr">
        <is>
          <t>E037.02</t>
        </is>
      </c>
      <c r="C363" s="2" t="inlineStr">
        <is>
          <t>Implementar estados de espera sem permitir envio financeiro duplicado.</t>
        </is>
      </c>
      <c r="D363" s="2" t="inlineStr">
        <is>
          <t>Frontend, Design e Acessibilidade</t>
        </is>
      </c>
      <c r="E363" s="4" t="inlineStr">
        <is>
          <t>Pendente</t>
        </is>
      </c>
      <c r="F363" s="4" t="inlineStr"/>
      <c r="G363" s="2">
        <f>IF(AND(E363="Concluída",LEN(TRIM(F363))&gt;0),1,0)</f>
        <v/>
      </c>
      <c r="H363" s="4" t="inlineStr"/>
    </row>
    <row r="364" ht="54" customHeight="1">
      <c r="A364" s="2" t="inlineStr">
        <is>
          <t>E037</t>
        </is>
      </c>
      <c r="B364" s="2" t="inlineStr">
        <is>
          <t>E037.03</t>
        </is>
      </c>
      <c r="C364" s="2" t="inlineStr">
        <is>
          <t>Padronizar campo de texto, seleção, quantidade, data e valor monetário.</t>
        </is>
      </c>
      <c r="D364" s="2" t="inlineStr">
        <is>
          <t>Frontend, Design e Acessibilidade</t>
        </is>
      </c>
      <c r="E364" s="4" t="inlineStr">
        <is>
          <t>Pendente</t>
        </is>
      </c>
      <c r="F364" s="4" t="inlineStr"/>
      <c r="G364" s="2">
        <f>IF(AND(E364="Concluída",LEN(TRIM(F364))&gt;0),1,0)</f>
        <v/>
      </c>
      <c r="H364" s="4" t="inlineStr"/>
    </row>
    <row r="365" ht="54" customHeight="1">
      <c r="A365" s="2" t="inlineStr">
        <is>
          <t>E037</t>
        </is>
      </c>
      <c r="B365" s="2" t="inlineStr">
        <is>
          <t>E037.04</t>
        </is>
      </c>
      <c r="C365" s="2" t="inlineStr">
        <is>
          <t>Associar rótulos, instruções e erros aos campos correspondentes.</t>
        </is>
      </c>
      <c r="D365" s="2" t="inlineStr">
        <is>
          <t>Frontend, Design e Acessibilidade</t>
        </is>
      </c>
      <c r="E365" s="4" t="inlineStr">
        <is>
          <t>Pendente</t>
        </is>
      </c>
      <c r="F365" s="4" t="inlineStr"/>
      <c r="G365" s="2">
        <f>IF(AND(E365="Concluída",LEN(TRIM(F365))&gt;0),1,0)</f>
        <v/>
      </c>
      <c r="H365" s="4" t="inlineStr"/>
    </row>
    <row r="366" ht="54" customHeight="1">
      <c r="A366" s="2" t="inlineStr">
        <is>
          <t>E037</t>
        </is>
      </c>
      <c r="B366" s="2" t="inlineStr">
        <is>
          <t>E037.05</t>
        </is>
      </c>
      <c r="C366" s="2" t="inlineStr">
        <is>
          <t>Usar elementos nativos quando eles atendem à necessidade de interação.</t>
        </is>
      </c>
      <c r="D366" s="2" t="inlineStr">
        <is>
          <t>Frontend, Design e Acessibilidade</t>
        </is>
      </c>
      <c r="E366" s="4" t="inlineStr">
        <is>
          <t>Pendente</t>
        </is>
      </c>
      <c r="F366" s="4" t="inlineStr"/>
      <c r="G366" s="2">
        <f>IF(AND(E366="Concluída",LEN(TRIM(F366))&gt;0),1,0)</f>
        <v/>
      </c>
      <c r="H366" s="4" t="inlineStr"/>
    </row>
    <row r="367" ht="54" customHeight="1">
      <c r="A367" s="2" t="inlineStr">
        <is>
          <t>E037</t>
        </is>
      </c>
      <c r="B367" s="2" t="inlineStr">
        <is>
          <t>E037.06</t>
        </is>
      </c>
      <c r="C367" s="2" t="inlineStr">
        <is>
          <t>Definir área de toque preferencial de 44 pixels para ações principais.</t>
        </is>
      </c>
      <c r="D367" s="2" t="inlineStr">
        <is>
          <t>Frontend, Design e Acessibilidade</t>
        </is>
      </c>
      <c r="E367" s="4" t="inlineStr">
        <is>
          <t>Pendente</t>
        </is>
      </c>
      <c r="F367" s="4" t="inlineStr"/>
      <c r="G367" s="2">
        <f>IF(AND(E367="Concluída",LEN(TRIM(F367))&gt;0),1,0)</f>
        <v/>
      </c>
      <c r="H367" s="4" t="inlineStr"/>
    </row>
    <row r="368" ht="54" customHeight="1">
      <c r="A368" s="2" t="inlineStr">
        <is>
          <t>E037</t>
        </is>
      </c>
      <c r="B368" s="2" t="inlineStr">
        <is>
          <t>E037.07</t>
        </is>
      </c>
      <c r="C368" s="2" t="inlineStr">
        <is>
          <t>Verificar mínimo normativo aplicável e exceções de alvos menores documentadas.</t>
        </is>
      </c>
      <c r="D368" s="2" t="inlineStr">
        <is>
          <t>Frontend, Design e Acessibilidade</t>
        </is>
      </c>
      <c r="E368" s="4" t="inlineStr">
        <is>
          <t>Pendente</t>
        </is>
      </c>
      <c r="F368" s="4" t="inlineStr"/>
      <c r="G368" s="2">
        <f>IF(AND(E368="Concluída",LEN(TRIM(F368))&gt;0),1,0)</f>
        <v/>
      </c>
      <c r="H368" s="4" t="inlineStr"/>
    </row>
    <row r="369" ht="54" customHeight="1">
      <c r="A369" s="2" t="inlineStr">
        <is>
          <t>E037</t>
        </is>
      </c>
      <c r="B369" s="2" t="inlineStr">
        <is>
          <t>E037.08</t>
        </is>
      </c>
      <c r="C369" s="2" t="inlineStr">
        <is>
          <t>Implementar diálogos com foco inicial, contenção e retorno ao acionador.</t>
        </is>
      </c>
      <c r="D369" s="2" t="inlineStr">
        <is>
          <t>Frontend, Design e Acessibilidade</t>
        </is>
      </c>
      <c r="E369" s="4" t="inlineStr">
        <is>
          <t>Pendente</t>
        </is>
      </c>
      <c r="F369" s="4" t="inlineStr"/>
      <c r="G369" s="2">
        <f>IF(AND(E369="Concluída",LEN(TRIM(F369))&gt;0),1,0)</f>
        <v/>
      </c>
      <c r="H369" s="4" t="inlineStr"/>
    </row>
    <row r="370" ht="54" customHeight="1">
      <c r="A370" s="2" t="inlineStr">
        <is>
          <t>E037</t>
        </is>
      </c>
      <c r="B370" s="2" t="inlineStr">
        <is>
          <t>E037.09</t>
        </is>
      </c>
      <c r="C370" s="2" t="inlineStr">
        <is>
          <t>Oferecer alternativas a gestos de arrastar e ações exclusivamente por hover.</t>
        </is>
      </c>
      <c r="D370" s="2" t="inlineStr">
        <is>
          <t>Frontend, Design e Acessibilidade</t>
        </is>
      </c>
      <c r="E370" s="4" t="inlineStr">
        <is>
          <t>Pendente</t>
        </is>
      </c>
      <c r="F370" s="4" t="inlineStr"/>
      <c r="G370" s="2">
        <f>IF(AND(E370="Concluída",LEN(TRIM(F370))&gt;0),1,0)</f>
        <v/>
      </c>
      <c r="H370" s="4" t="inlineStr"/>
    </row>
    <row r="371" ht="54" customHeight="1">
      <c r="A371" s="2" t="inlineStr">
        <is>
          <t>E037</t>
        </is>
      </c>
      <c r="B371" s="2" t="inlineStr">
        <is>
          <t>E037.10</t>
        </is>
      </c>
      <c r="C371" s="2" t="inlineStr">
        <is>
          <t>Validar exemplos com teclado, toque e tecnologia assistiva nas telas do portal.</t>
        </is>
      </c>
      <c r="D371" s="2" t="inlineStr">
        <is>
          <t>Frontend, Design e Acessibilidade</t>
        </is>
      </c>
      <c r="E371" s="4" t="inlineStr">
        <is>
          <t>Pendente</t>
        </is>
      </c>
      <c r="F371" s="4" t="inlineStr"/>
      <c r="G371" s="2">
        <f>IF(AND(E371="Concluída",LEN(TRIM(F371))&gt;0),1,0)</f>
        <v/>
      </c>
      <c r="H371" s="4" t="inlineStr"/>
    </row>
    <row r="372" ht="54" customHeight="1">
      <c r="A372" s="2" t="inlineStr">
        <is>
          <t>E038</t>
        </is>
      </c>
      <c r="B372" s="2" t="inlineStr">
        <is>
          <t>E038.01</t>
        </is>
      </c>
      <c r="C372" s="2" t="inlineStr">
        <is>
          <t>Definir quando usar tabela, lista ou card por tarefa do usuário.</t>
        </is>
      </c>
      <c r="D372" s="2" t="inlineStr">
        <is>
          <t>Frontend e Design</t>
        </is>
      </c>
      <c r="E372" s="4" t="inlineStr">
        <is>
          <t>Pendente</t>
        </is>
      </c>
      <c r="F372" s="4" t="inlineStr"/>
      <c r="G372" s="2">
        <f>IF(AND(E372="Concluída",LEN(TRIM(F372))&gt;0),1,0)</f>
        <v/>
      </c>
      <c r="H372" s="4" t="inlineStr"/>
    </row>
    <row r="373" ht="54" customHeight="1">
      <c r="A373" s="2" t="inlineStr">
        <is>
          <t>E038</t>
        </is>
      </c>
      <c r="B373" s="2" t="inlineStr">
        <is>
          <t>E038.02</t>
        </is>
      </c>
      <c r="C373" s="2" t="inlineStr">
        <is>
          <t>Priorizar colunas de identificação, valor, prazo e pendência.</t>
        </is>
      </c>
      <c r="D373" s="2" t="inlineStr">
        <is>
          <t>Frontend e Design</t>
        </is>
      </c>
      <c r="E373" s="4" t="inlineStr">
        <is>
          <t>Pendente</t>
        </is>
      </c>
      <c r="F373" s="4" t="inlineStr"/>
      <c r="G373" s="2">
        <f>IF(AND(E373="Concluída",LEN(TRIM(F373))&gt;0),1,0)</f>
        <v/>
      </c>
      <c r="H373" s="4" t="inlineStr"/>
    </row>
    <row r="374" ht="54" customHeight="1">
      <c r="A374" s="2" t="inlineStr">
        <is>
          <t>E038</t>
        </is>
      </c>
      <c r="B374" s="2" t="inlineStr">
        <is>
          <t>E038.03</t>
        </is>
      </c>
      <c r="C374" s="2" t="inlineStr">
        <is>
          <t>Alinhar números e unidades sem misturar formatos incompatíveis.</t>
        </is>
      </c>
      <c r="D374" s="2" t="inlineStr">
        <is>
          <t>Frontend e Design</t>
        </is>
      </c>
      <c r="E374" s="4" t="inlineStr">
        <is>
          <t>Pendente</t>
        </is>
      </c>
      <c r="F374" s="4" t="inlineStr"/>
      <c r="G374" s="2">
        <f>IF(AND(E374="Concluída",LEN(TRIM(F374))&gt;0),1,0)</f>
        <v/>
      </c>
      <c r="H374" s="4" t="inlineStr"/>
    </row>
    <row r="375" ht="54" customHeight="1">
      <c r="A375" s="2" t="inlineStr">
        <is>
          <t>E038</t>
        </is>
      </c>
      <c r="B375" s="2" t="inlineStr">
        <is>
          <t>E038.04</t>
        </is>
      </c>
      <c r="C375" s="2" t="inlineStr">
        <is>
          <t>Implementar ordenação com indicação textual e estado acessível.</t>
        </is>
      </c>
      <c r="D375" s="2" t="inlineStr">
        <is>
          <t>Frontend e Design</t>
        </is>
      </c>
      <c r="E375" s="4" t="inlineStr">
        <is>
          <t>Pendente</t>
        </is>
      </c>
      <c r="F375" s="4" t="inlineStr"/>
      <c r="G375" s="2">
        <f>IF(AND(E375="Concluída",LEN(TRIM(F375))&gt;0),1,0)</f>
        <v/>
      </c>
      <c r="H375" s="4" t="inlineStr"/>
    </row>
    <row r="376" ht="54" customHeight="1">
      <c r="A376" s="2" t="inlineStr">
        <is>
          <t>E038</t>
        </is>
      </c>
      <c r="B376" s="2" t="inlineStr">
        <is>
          <t>E038.05</t>
        </is>
      </c>
      <c r="C376" s="2" t="inlineStr">
        <is>
          <t>Definir seleção de linha e seleção em lote sem ambiguidade de escopo.</t>
        </is>
      </c>
      <c r="D376" s="2" t="inlineStr">
        <is>
          <t>Frontend e Design</t>
        </is>
      </c>
      <c r="E376" s="4" t="inlineStr">
        <is>
          <t>Pendente</t>
        </is>
      </c>
      <c r="F376" s="4" t="inlineStr"/>
      <c r="G376" s="2">
        <f>IF(AND(E376="Concluída",LEN(TRIM(F376))&gt;0),1,0)</f>
        <v/>
      </c>
      <c r="H376" s="4" t="inlineStr"/>
    </row>
    <row r="377" ht="54" customHeight="1">
      <c r="A377" s="2" t="inlineStr">
        <is>
          <t>E038</t>
        </is>
      </c>
      <c r="B377" s="2" t="inlineStr">
        <is>
          <t>E038.06</t>
        </is>
      </c>
      <c r="C377" s="2" t="inlineStr">
        <is>
          <t>Preservar cabeçalhos e relação entre célula e coluna.</t>
        </is>
      </c>
      <c r="D377" s="2" t="inlineStr">
        <is>
          <t>Frontend e Design</t>
        </is>
      </c>
      <c r="E377" s="4" t="inlineStr">
        <is>
          <t>Pendente</t>
        </is>
      </c>
      <c r="F377" s="4" t="inlineStr"/>
      <c r="G377" s="2">
        <f>IF(AND(E377="Concluída",LEN(TRIM(F377))&gt;0),1,0)</f>
        <v/>
      </c>
      <c r="H377" s="4" t="inlineStr"/>
    </row>
    <row r="378" ht="54" customHeight="1">
      <c r="A378" s="2" t="inlineStr">
        <is>
          <t>E038</t>
        </is>
      </c>
      <c r="B378" s="2" t="inlineStr">
        <is>
          <t>E038.07</t>
        </is>
      </c>
      <c r="C378" s="2" t="inlineStr">
        <is>
          <t>Planejar comportamento móvel com detalhes progressivos ou rolagem localizada.</t>
        </is>
      </c>
      <c r="D378" s="2" t="inlineStr">
        <is>
          <t>Frontend e Design</t>
        </is>
      </c>
      <c r="E378" s="4" t="inlineStr">
        <is>
          <t>Pendente</t>
        </is>
      </c>
      <c r="F378" s="4" t="inlineStr"/>
      <c r="G378" s="2">
        <f>IF(AND(E378="Concluída",LEN(TRIM(F378))&gt;0),1,0)</f>
        <v/>
      </c>
      <c r="H378" s="4" t="inlineStr"/>
    </row>
    <row r="379" ht="54" customHeight="1">
      <c r="A379" s="2" t="inlineStr">
        <is>
          <t>E038</t>
        </is>
      </c>
      <c r="B379" s="2" t="inlineStr">
        <is>
          <t>E038.08</t>
        </is>
      </c>
      <c r="C379" s="2" t="inlineStr">
        <is>
          <t>Mostrar total, página e intervalo sem contagens inventadas.</t>
        </is>
      </c>
      <c r="D379" s="2" t="inlineStr">
        <is>
          <t>Frontend e Design</t>
        </is>
      </c>
      <c r="E379" s="4" t="inlineStr">
        <is>
          <t>Pendente</t>
        </is>
      </c>
      <c r="F379" s="4" t="inlineStr"/>
      <c r="G379" s="2">
        <f>IF(AND(E379="Concluída",LEN(TRIM(F379))&gt;0),1,0)</f>
        <v/>
      </c>
      <c r="H379" s="4" t="inlineStr"/>
    </row>
    <row r="380" ht="54" customHeight="1">
      <c r="A380" s="2" t="inlineStr">
        <is>
          <t>E038</t>
        </is>
      </c>
      <c r="B380" s="2" t="inlineStr">
        <is>
          <t>E038.09</t>
        </is>
      </c>
      <c r="C380" s="2" t="inlineStr">
        <is>
          <t>Representar estados com texto, data e ação pertinente.</t>
        </is>
      </c>
      <c r="D380" s="2" t="inlineStr">
        <is>
          <t>Frontend e Design</t>
        </is>
      </c>
      <c r="E380" s="4" t="inlineStr">
        <is>
          <t>Pendente</t>
        </is>
      </c>
      <c r="F380" s="4" t="inlineStr"/>
      <c r="G380" s="2">
        <f>IF(AND(E380="Concluída",LEN(TRIM(F380))&gt;0),1,0)</f>
        <v/>
      </c>
      <c r="H380" s="4" t="inlineStr"/>
    </row>
    <row r="381" ht="54" customHeight="1">
      <c r="A381" s="2" t="inlineStr">
        <is>
          <t>E038</t>
        </is>
      </c>
      <c r="B381" s="2" t="inlineStr">
        <is>
          <t>E038.10</t>
        </is>
      </c>
      <c r="C381" s="2" t="inlineStr">
        <is>
          <t>Validar consulta, seleção e retorno ao item em volume representativo de dados.</t>
        </is>
      </c>
      <c r="D381" s="2" t="inlineStr">
        <is>
          <t>Frontend e Design</t>
        </is>
      </c>
      <c r="E381" s="4" t="inlineStr">
        <is>
          <t>Pendente</t>
        </is>
      </c>
      <c r="F381" s="4" t="inlineStr"/>
      <c r="G381" s="2">
        <f>IF(AND(E381="Concluída",LEN(TRIM(F381))&gt;0),1,0)</f>
        <v/>
      </c>
      <c r="H381" s="4" t="inlineStr"/>
    </row>
    <row r="382" ht="54" customHeight="1">
      <c r="A382" s="2" t="inlineStr">
        <is>
          <t>E039</t>
        </is>
      </c>
      <c r="B382" s="2" t="inlineStr">
        <is>
          <t>E039.01</t>
        </is>
      </c>
      <c r="C382" s="2" t="inlineStr">
        <is>
          <t>Relacionar cada animação proposta à informação que ela comunica.</t>
        </is>
      </c>
      <c r="D382" s="2" t="inlineStr">
        <is>
          <t>Design de interação e Frontend</t>
        </is>
      </c>
      <c r="E382" s="4" t="inlineStr">
        <is>
          <t>Pendente</t>
        </is>
      </c>
      <c r="F382" s="4" t="inlineStr"/>
      <c r="G382" s="2">
        <f>IF(AND(E382="Concluída",LEN(TRIM(F382))&gt;0),1,0)</f>
        <v/>
      </c>
      <c r="H382" s="4" t="inlineStr"/>
    </row>
    <row r="383" ht="54" customHeight="1">
      <c r="A383" s="2" t="inlineStr">
        <is>
          <t>E039</t>
        </is>
      </c>
      <c r="B383" s="2" t="inlineStr">
        <is>
          <t>E039.02</t>
        </is>
      </c>
      <c r="C383" s="2" t="inlineStr">
        <is>
          <t>Definir durações discretas para mudança de estado e transição.</t>
        </is>
      </c>
      <c r="D383" s="2" t="inlineStr">
        <is>
          <t>Design de interação e Frontend</t>
        </is>
      </c>
      <c r="E383" s="4" t="inlineStr">
        <is>
          <t>Pendente</t>
        </is>
      </c>
      <c r="F383" s="4" t="inlineStr"/>
      <c r="G383" s="2">
        <f>IF(AND(E383="Concluída",LEN(TRIM(F383))&gt;0),1,0)</f>
        <v/>
      </c>
      <c r="H383" s="4" t="inlineStr"/>
    </row>
    <row r="384" ht="54" customHeight="1">
      <c r="A384" s="2" t="inlineStr">
        <is>
          <t>E039</t>
        </is>
      </c>
      <c r="B384" s="2" t="inlineStr">
        <is>
          <t>E039.03</t>
        </is>
      </c>
      <c r="C384" s="2" t="inlineStr">
        <is>
          <t>Evitar animações contínuas em conteúdo de trabalho e decisão.</t>
        </is>
      </c>
      <c r="D384" s="2" t="inlineStr">
        <is>
          <t>Design de interação e Frontend</t>
        </is>
      </c>
      <c r="E384" s="4" t="inlineStr">
        <is>
          <t>Pendente</t>
        </is>
      </c>
      <c r="F384" s="4" t="inlineStr"/>
      <c r="G384" s="2">
        <f>IF(AND(E384="Concluída",LEN(TRIM(F384))&gt;0),1,0)</f>
        <v/>
      </c>
      <c r="H384" s="4" t="inlineStr"/>
    </row>
    <row r="385" ht="54" customHeight="1">
      <c r="A385" s="2" t="inlineStr">
        <is>
          <t>E039</t>
        </is>
      </c>
      <c r="B385" s="2" t="inlineStr">
        <is>
          <t>E039.04</t>
        </is>
      </c>
      <c r="C385" s="2" t="inlineStr">
        <is>
          <t>Respeitar preferência por redução de movimento do dispositivo.</t>
        </is>
      </c>
      <c r="D385" s="2" t="inlineStr">
        <is>
          <t>Design de interação e Frontend</t>
        </is>
      </c>
      <c r="E385" s="4" t="inlineStr">
        <is>
          <t>Pendente</t>
        </is>
      </c>
      <c r="F385" s="4" t="inlineStr"/>
      <c r="G385" s="2">
        <f>IF(AND(E385="Concluída",LEN(TRIM(F385))&gt;0),1,0)</f>
        <v/>
      </c>
      <c r="H385" s="4" t="inlineStr"/>
    </row>
    <row r="386" ht="54" customHeight="1">
      <c r="A386" s="2" t="inlineStr">
        <is>
          <t>E039</t>
        </is>
      </c>
      <c r="B386" s="2" t="inlineStr">
        <is>
          <t>E039.05</t>
        </is>
      </c>
      <c r="C386" s="2" t="inlineStr">
        <is>
          <t>Preservar foco durante abertura, fechamento e atualização de componentes.</t>
        </is>
      </c>
      <c r="D386" s="2" t="inlineStr">
        <is>
          <t>Design de interação e Frontend</t>
        </is>
      </c>
      <c r="E386" s="4" t="inlineStr">
        <is>
          <t>Pendente</t>
        </is>
      </c>
      <c r="F386" s="4" t="inlineStr"/>
      <c r="G386" s="2">
        <f>IF(AND(E386="Concluída",LEN(TRIM(F386))&gt;0),1,0)</f>
        <v/>
      </c>
      <c r="H386" s="4" t="inlineStr"/>
    </row>
    <row r="387" ht="54" customHeight="1">
      <c r="A387" s="2" t="inlineStr">
        <is>
          <t>E039</t>
        </is>
      </c>
      <c r="B387" s="2" t="inlineStr">
        <is>
          <t>E039.06</t>
        </is>
      </c>
      <c r="C387" s="2" t="inlineStr">
        <is>
          <t>Usar feedback imediato de interação sem simular aprovação concluída.</t>
        </is>
      </c>
      <c r="D387" s="2" t="inlineStr">
        <is>
          <t>Design de interação e Frontend</t>
        </is>
      </c>
      <c r="E387" s="4" t="inlineStr">
        <is>
          <t>Pendente</t>
        </is>
      </c>
      <c r="F387" s="4" t="inlineStr"/>
      <c r="G387" s="2">
        <f>IF(AND(E387="Concluída",LEN(TRIM(F387))&gt;0),1,0)</f>
        <v/>
      </c>
      <c r="H387" s="4" t="inlineStr"/>
    </row>
    <row r="388" ht="54" customHeight="1">
      <c r="A388" s="2" t="inlineStr">
        <is>
          <t>E039</t>
        </is>
      </c>
      <c r="B388" s="2" t="inlineStr">
        <is>
          <t>E039.07</t>
        </is>
      </c>
      <c r="C388" s="2" t="inlineStr">
        <is>
          <t>Reservar mensagens persistentes para resultados que exigem leitura posterior.</t>
        </is>
      </c>
      <c r="D388" s="2" t="inlineStr">
        <is>
          <t>Design de interação e Frontend</t>
        </is>
      </c>
      <c r="E388" s="4" t="inlineStr">
        <is>
          <t>Pendente</t>
        </is>
      </c>
      <c r="F388" s="4" t="inlineStr"/>
      <c r="G388" s="2">
        <f>IF(AND(E388="Concluída",LEN(TRIM(F388))&gt;0),1,0)</f>
        <v/>
      </c>
      <c r="H388" s="4" t="inlineStr"/>
    </row>
    <row r="389" ht="54" customHeight="1">
      <c r="A389" s="2" t="inlineStr">
        <is>
          <t>E039</t>
        </is>
      </c>
      <c r="B389" s="2" t="inlineStr">
        <is>
          <t>E039.08</t>
        </is>
      </c>
      <c r="C389" s="2" t="inlineStr">
        <is>
          <t>Evitar deslocamentos de layout ao carregar imagens e valores.</t>
        </is>
      </c>
      <c r="D389" s="2" t="inlineStr">
        <is>
          <t>Design de interação e Frontend</t>
        </is>
      </c>
      <c r="E389" s="4" t="inlineStr">
        <is>
          <t>Pendente</t>
        </is>
      </c>
      <c r="F389" s="4" t="inlineStr"/>
      <c r="G389" s="2">
        <f>IF(AND(E389="Concluída",LEN(TRIM(F389))&gt;0),1,0)</f>
        <v/>
      </c>
      <c r="H389" s="4" t="inlineStr"/>
    </row>
    <row r="390" ht="54" customHeight="1">
      <c r="A390" s="2" t="inlineStr">
        <is>
          <t>E039</t>
        </is>
      </c>
      <c r="B390" s="2" t="inlineStr">
        <is>
          <t>E039.09</t>
        </is>
      </c>
      <c r="C390" s="2" t="inlineStr">
        <is>
          <t>Testar percepção de carregamento em conexão lenta.</t>
        </is>
      </c>
      <c r="D390" s="2" t="inlineStr">
        <is>
          <t>Design de interação e Frontend</t>
        </is>
      </c>
      <c r="E390" s="4" t="inlineStr">
        <is>
          <t>Pendente</t>
        </is>
      </c>
      <c r="F390" s="4" t="inlineStr"/>
      <c r="G390" s="2">
        <f>IF(AND(E390="Concluída",LEN(TRIM(F390))&gt;0),1,0)</f>
        <v/>
      </c>
      <c r="H390" s="4" t="inlineStr"/>
    </row>
    <row r="391" ht="54" customHeight="1">
      <c r="A391" s="2" t="inlineStr">
        <is>
          <t>E039</t>
        </is>
      </c>
      <c r="B391" s="2" t="inlineStr">
        <is>
          <t>E039.10</t>
        </is>
      </c>
      <c r="C391" s="2" t="inlineStr">
        <is>
          <t>Remover efeitos que dificultem leitura ou não tenham função demonstrável.</t>
        </is>
      </c>
      <c r="D391" s="2" t="inlineStr">
        <is>
          <t>Design de interação e Frontend</t>
        </is>
      </c>
      <c r="E391" s="4" t="inlineStr">
        <is>
          <t>Pendente</t>
        </is>
      </c>
      <c r="F391" s="4" t="inlineStr"/>
      <c r="G391" s="2">
        <f>IF(AND(E391="Concluída",LEN(TRIM(F391))&gt;0),1,0)</f>
        <v/>
      </c>
      <c r="H391" s="4" t="inlineStr"/>
    </row>
    <row r="392" ht="54" customHeight="1">
      <c r="A392" s="2" t="inlineStr">
        <is>
          <t>E040</t>
        </is>
      </c>
      <c r="B392" s="2" t="inlineStr">
        <is>
          <t>E040.01</t>
        </is>
      </c>
      <c r="C392" s="2" t="inlineStr">
        <is>
          <t>Documentar cada componente com uso recomendado e limites.</t>
        </is>
      </c>
      <c r="D392" s="2" t="inlineStr">
        <is>
          <t>Design de sistemas e Liderança técnica</t>
        </is>
      </c>
      <c r="E392" s="4" t="inlineStr">
        <is>
          <t>Pendente</t>
        </is>
      </c>
      <c r="F392" s="4" t="inlineStr"/>
      <c r="G392" s="2">
        <f>IF(AND(E392="Concluída",LEN(TRIM(F392))&gt;0),1,0)</f>
        <v/>
      </c>
      <c r="H392" s="4" t="inlineStr"/>
    </row>
    <row r="393" ht="54" customHeight="1">
      <c r="A393" s="2" t="inlineStr">
        <is>
          <t>E040</t>
        </is>
      </c>
      <c r="B393" s="2" t="inlineStr">
        <is>
          <t>E040.02</t>
        </is>
      </c>
      <c r="C393" s="2" t="inlineStr">
        <is>
          <t>Publicar exemplos de estados preenchido, vazio, inválido e desabilitado.</t>
        </is>
      </c>
      <c r="D393" s="2" t="inlineStr">
        <is>
          <t>Design de sistemas e Liderança técnica</t>
        </is>
      </c>
      <c r="E393" s="4" t="inlineStr">
        <is>
          <t>Pendente</t>
        </is>
      </c>
      <c r="F393" s="4" t="inlineStr"/>
      <c r="G393" s="2">
        <f>IF(AND(E393="Concluída",LEN(TRIM(F393))&gt;0),1,0)</f>
        <v/>
      </c>
      <c r="H393" s="4" t="inlineStr"/>
    </row>
    <row r="394" ht="54" customHeight="1">
      <c r="A394" s="2" t="inlineStr">
        <is>
          <t>E040</t>
        </is>
      </c>
      <c r="B394" s="2" t="inlineStr">
        <is>
          <t>E040.03</t>
        </is>
      </c>
      <c r="C394" s="2" t="inlineStr">
        <is>
          <t>Associar requisitos de acessibilidade ao contrato do componente.</t>
        </is>
      </c>
      <c r="D394" s="2" t="inlineStr">
        <is>
          <t>Design de sistemas e Liderança técnica</t>
        </is>
      </c>
      <c r="E394" s="4" t="inlineStr">
        <is>
          <t>Pendente</t>
        </is>
      </c>
      <c r="F394" s="4" t="inlineStr"/>
      <c r="G394" s="2">
        <f>IF(AND(E394="Concluída",LEN(TRIM(F394))&gt;0),1,0)</f>
        <v/>
      </c>
      <c r="H394" s="4" t="inlineStr"/>
    </row>
    <row r="395" ht="54" customHeight="1">
      <c r="A395" s="2" t="inlineStr">
        <is>
          <t>E040</t>
        </is>
      </c>
      <c r="B395" s="2" t="inlineStr">
        <is>
          <t>E040.04</t>
        </is>
      </c>
      <c r="C395" s="2" t="inlineStr">
        <is>
          <t>Registrar correspondência entre especificação visual e implementação.</t>
        </is>
      </c>
      <c r="D395" s="2" t="inlineStr">
        <is>
          <t>Design de sistemas e Liderança técnica</t>
        </is>
      </c>
      <c r="E395" s="4" t="inlineStr">
        <is>
          <t>Pendente</t>
        </is>
      </c>
      <c r="F395" s="4" t="inlineStr"/>
      <c r="G395" s="2">
        <f>IF(AND(E395="Concluída",LEN(TRIM(F395))&gt;0),1,0)</f>
        <v/>
      </c>
      <c r="H395" s="4" t="inlineStr"/>
    </row>
    <row r="396" ht="54" customHeight="1">
      <c r="A396" s="2" t="inlineStr">
        <is>
          <t>E040</t>
        </is>
      </c>
      <c r="B396" s="2" t="inlineStr">
        <is>
          <t>E040.05</t>
        </is>
      </c>
      <c r="C396" s="2" t="inlineStr">
        <is>
          <t>Definir revisão para inclusão de nova variante ou exceção.</t>
        </is>
      </c>
      <c r="D396" s="2" t="inlineStr">
        <is>
          <t>Design de sistemas e Liderança técnica</t>
        </is>
      </c>
      <c r="E396" s="4" t="inlineStr">
        <is>
          <t>Pendente</t>
        </is>
      </c>
      <c r="F396" s="4" t="inlineStr"/>
      <c r="G396" s="2">
        <f>IF(AND(E396="Concluída",LEN(TRIM(F396))&gt;0),1,0)</f>
        <v/>
      </c>
      <c r="H396" s="4" t="inlineStr"/>
    </row>
    <row r="397" ht="54" customHeight="1">
      <c r="A397" s="2" t="inlineStr">
        <is>
          <t>E040</t>
        </is>
      </c>
      <c r="B397" s="2" t="inlineStr">
        <is>
          <t>E040.06</t>
        </is>
      </c>
      <c r="C397" s="2" t="inlineStr">
        <is>
          <t>Evitar duplicação de componentes com diferenças apenas cosméticas.</t>
        </is>
      </c>
      <c r="D397" s="2" t="inlineStr">
        <is>
          <t>Design de sistemas e Liderança técnica</t>
        </is>
      </c>
      <c r="E397" s="4" t="inlineStr">
        <is>
          <t>Pendente</t>
        </is>
      </c>
      <c r="F397" s="4" t="inlineStr"/>
      <c r="G397" s="2">
        <f>IF(AND(E397="Concluída",LEN(TRIM(F397))&gt;0),1,0)</f>
        <v/>
      </c>
      <c r="H397" s="4" t="inlineStr"/>
    </row>
    <row r="398" ht="54" customHeight="1">
      <c r="A398" s="2" t="inlineStr">
        <is>
          <t>E040</t>
        </is>
      </c>
      <c r="B398" s="2" t="inlineStr">
        <is>
          <t>E040.07</t>
        </is>
      </c>
      <c r="C398" s="2" t="inlineStr">
        <is>
          <t>Criar exemplos com nomes longos, dados extremos e múltiplos estados.</t>
        </is>
      </c>
      <c r="D398" s="2" t="inlineStr">
        <is>
          <t>Design de sistemas e Liderança técnica</t>
        </is>
      </c>
      <c r="E398" s="4" t="inlineStr">
        <is>
          <t>Pendente</t>
        </is>
      </c>
      <c r="F398" s="4" t="inlineStr"/>
      <c r="G398" s="2">
        <f>IF(AND(E398="Concluída",LEN(TRIM(F398))&gt;0),1,0)</f>
        <v/>
      </c>
      <c r="H398" s="4" t="inlineStr"/>
    </row>
    <row r="399" ht="54" customHeight="1">
      <c r="A399" s="2" t="inlineStr">
        <is>
          <t>E040</t>
        </is>
      </c>
      <c r="B399" s="2" t="inlineStr">
        <is>
          <t>E040.08</t>
        </is>
      </c>
      <c r="C399" s="2" t="inlineStr">
        <is>
          <t>Definir versionamento e impacto de mudanças sobre consumidores existentes.</t>
        </is>
      </c>
      <c r="D399" s="2" t="inlineStr">
        <is>
          <t>Design de sistemas e Liderança técnica</t>
        </is>
      </c>
      <c r="E399" s="4" t="inlineStr">
        <is>
          <t>Pendente</t>
        </is>
      </c>
      <c r="F399" s="4" t="inlineStr"/>
      <c r="G399" s="2">
        <f>IF(AND(E399="Concluída",LEN(TRIM(F399))&gt;0),1,0)</f>
        <v/>
      </c>
      <c r="H399" s="4" t="inlineStr"/>
    </row>
    <row r="400" ht="54" customHeight="1">
      <c r="A400" s="2" t="inlineStr">
        <is>
          <t>E040</t>
        </is>
      </c>
      <c r="B400" s="2" t="inlineStr">
        <is>
          <t>E040.09</t>
        </is>
      </c>
      <c r="C400" s="2" t="inlineStr">
        <is>
          <t>Validar alterações relevantes nas telas representativas do portal.</t>
        </is>
      </c>
      <c r="D400" s="2" t="inlineStr">
        <is>
          <t>Design de sistemas e Liderança técnica</t>
        </is>
      </c>
      <c r="E400" s="4" t="inlineStr">
        <is>
          <t>Pendente</t>
        </is>
      </c>
      <c r="F400" s="4" t="inlineStr"/>
      <c r="G400" s="2">
        <f>IF(AND(E400="Concluída",LEN(TRIM(F400))&gt;0),1,0)</f>
        <v/>
      </c>
      <c r="H400" s="4" t="inlineStr"/>
    </row>
    <row r="401" ht="54" customHeight="1">
      <c r="A401" s="2" t="inlineStr">
        <is>
          <t>E040</t>
        </is>
      </c>
      <c r="B401" s="2" t="inlineStr">
        <is>
          <t>E040.10</t>
        </is>
      </c>
      <c r="C401" s="2" t="inlineStr">
        <is>
          <t>Formalizar responsáveis por manter consistência e corrigir regressões visuais.</t>
        </is>
      </c>
      <c r="D401" s="2" t="inlineStr">
        <is>
          <t>Design de sistemas e Liderança técnica</t>
        </is>
      </c>
      <c r="E401" s="4" t="inlineStr">
        <is>
          <t>Pendente</t>
        </is>
      </c>
      <c r="F401" s="4" t="inlineStr"/>
      <c r="G401" s="2">
        <f>IF(AND(E401="Concluída",LEN(TRIM(F401))&gt;0),1,0)</f>
        <v/>
      </c>
      <c r="H401" s="4" t="inlineStr"/>
    </row>
    <row r="402" ht="54" customHeight="1">
      <c r="A402" s="2" t="inlineStr">
        <is>
          <t>E041</t>
        </is>
      </c>
      <c r="B402" s="2" t="inlineStr">
        <is>
          <t>E041.01</t>
        </is>
      </c>
      <c r="C402" s="2" t="inlineStr">
        <is>
          <t>Aplicar a identidade autorizada com logo carregada localmente.</t>
        </is>
      </c>
      <c r="D402" s="2" t="inlineStr">
        <is>
          <t>UX, Frontend e Conteúdo</t>
        </is>
      </c>
      <c r="E402" s="4" t="inlineStr">
        <is>
          <t>Pendente</t>
        </is>
      </c>
      <c r="F402" s="4" t="inlineStr"/>
      <c r="G402" s="2">
        <f>IF(AND(E402="Concluída",LEN(TRIM(F402))&gt;0),1,0)</f>
        <v/>
      </c>
      <c r="H402" s="4" t="inlineStr"/>
    </row>
    <row r="403" ht="54" customHeight="1">
      <c r="A403" s="2" t="inlineStr">
        <is>
          <t>E041</t>
        </is>
      </c>
      <c r="B403" s="2" t="inlineStr">
        <is>
          <t>E041.02</t>
        </is>
      </c>
      <c r="C403" s="2" t="inlineStr">
        <is>
          <t>Explicar a finalidade do portal em texto curto e verificável.</t>
        </is>
      </c>
      <c r="D403" s="2" t="inlineStr">
        <is>
          <t>UX, Frontend e Conteúdo</t>
        </is>
      </c>
      <c r="E403" s="4" t="inlineStr">
        <is>
          <t>Pendente</t>
        </is>
      </c>
      <c r="F403" s="4" t="inlineStr"/>
      <c r="G403" s="2">
        <f>IF(AND(E403="Concluída",LEN(TRIM(F403))&gt;0),1,0)</f>
        <v/>
      </c>
      <c r="H403" s="4" t="inlineStr"/>
    </row>
    <row r="404" ht="54" customHeight="1">
      <c r="A404" s="2" t="inlineStr">
        <is>
          <t>E041</t>
        </is>
      </c>
      <c r="B404" s="2" t="inlineStr">
        <is>
          <t>E041.03</t>
        </is>
      </c>
      <c r="C404" s="2" t="inlineStr">
        <is>
          <t>Destacar a ação principal de entrada e a recuperação de acesso.</t>
        </is>
      </c>
      <c r="D404" s="2" t="inlineStr">
        <is>
          <t>UX, Frontend e Conteúdo</t>
        </is>
      </c>
      <c r="E404" s="4" t="inlineStr">
        <is>
          <t>Pendente</t>
        </is>
      </c>
      <c r="F404" s="4" t="inlineStr"/>
      <c r="G404" s="2">
        <f>IF(AND(E404="Concluída",LEN(TRIM(F404))&gt;0),1,0)</f>
        <v/>
      </c>
      <c r="H404" s="4" t="inlineStr"/>
    </row>
    <row r="405" ht="54" customHeight="1">
      <c r="A405" s="2" t="inlineStr">
        <is>
          <t>E041</t>
        </is>
      </c>
      <c r="B405" s="2" t="inlineStr">
        <is>
          <t>E041.04</t>
        </is>
      </c>
      <c r="C405" s="2" t="inlineStr">
        <is>
          <t>Apresentar apenas provedores configurados e aprovados para o ambiente.</t>
        </is>
      </c>
      <c r="D405" s="2" t="inlineStr">
        <is>
          <t>UX, Frontend e Conteúdo</t>
        </is>
      </c>
      <c r="E405" s="4" t="inlineStr">
        <is>
          <t>Pendente</t>
        </is>
      </c>
      <c r="F405" s="4" t="inlineStr"/>
      <c r="G405" s="2">
        <f>IF(AND(E405="Concluída",LEN(TRIM(F405))&gt;0),1,0)</f>
        <v/>
      </c>
      <c r="H405" s="4" t="inlineStr"/>
    </row>
    <row r="406" ht="54" customHeight="1">
      <c r="A406" s="2" t="inlineStr">
        <is>
          <t>E041</t>
        </is>
      </c>
      <c r="B406" s="2" t="inlineStr">
        <is>
          <t>E041.05</t>
        </is>
      </c>
      <c r="C406" s="2" t="inlineStr">
        <is>
          <t>Explicar o acesso por convite quando não houver cadastro público.</t>
        </is>
      </c>
      <c r="D406" s="2" t="inlineStr">
        <is>
          <t>UX, Frontend e Conteúdo</t>
        </is>
      </c>
      <c r="E406" s="4" t="inlineStr">
        <is>
          <t>Pendente</t>
        </is>
      </c>
      <c r="F406" s="4" t="inlineStr"/>
      <c r="G406" s="2">
        <f>IF(AND(E406="Concluída",LEN(TRIM(F406))&gt;0),1,0)</f>
        <v/>
      </c>
      <c r="H406" s="4" t="inlineStr"/>
    </row>
    <row r="407" ht="54" customHeight="1">
      <c r="A407" s="2" t="inlineStr">
        <is>
          <t>E041</t>
        </is>
      </c>
      <c r="B407" s="2" t="inlineStr">
        <is>
          <t>E041.06</t>
        </is>
      </c>
      <c r="C407" s="2" t="inlineStr">
        <is>
          <t>Preservar email preenchido em erros recuperáveis.</t>
        </is>
      </c>
      <c r="D407" s="2" t="inlineStr">
        <is>
          <t>UX, Frontend e Conteúdo</t>
        </is>
      </c>
      <c r="E407" s="4" t="inlineStr">
        <is>
          <t>Pendente</t>
        </is>
      </c>
      <c r="F407" s="4" t="inlineStr"/>
      <c r="G407" s="2">
        <f>IF(AND(E407="Concluída",LEN(TRIM(F407))&gt;0),1,0)</f>
        <v/>
      </c>
      <c r="H407" s="4" t="inlineStr"/>
    </row>
    <row r="408" ht="54" customHeight="1">
      <c r="A408" s="2" t="inlineStr">
        <is>
          <t>E041</t>
        </is>
      </c>
      <c r="B408" s="2" t="inlineStr">
        <is>
          <t>E041.07</t>
        </is>
      </c>
      <c r="C408" s="2" t="inlineStr">
        <is>
          <t>Evitar distrações comerciais e métricas sem comprovação no login.</t>
        </is>
      </c>
      <c r="D408" s="2" t="inlineStr">
        <is>
          <t>UX, Frontend e Conteúdo</t>
        </is>
      </c>
      <c r="E408" s="4" t="inlineStr">
        <is>
          <t>Pendente</t>
        </is>
      </c>
      <c r="F408" s="4" t="inlineStr"/>
      <c r="G408" s="2">
        <f>IF(AND(E408="Concluída",LEN(TRIM(F408))&gt;0),1,0)</f>
        <v/>
      </c>
      <c r="H408" s="4" t="inlineStr"/>
    </row>
    <row r="409" ht="54" customHeight="1">
      <c r="A409" s="2" t="inlineStr">
        <is>
          <t>E041</t>
        </is>
      </c>
      <c r="B409" s="2" t="inlineStr">
        <is>
          <t>E041.08</t>
        </is>
      </c>
      <c r="C409" s="2" t="inlineStr">
        <is>
          <t>Mostrar ajuda para convite expirado ou vínculo ausente.</t>
        </is>
      </c>
      <c r="D409" s="2" t="inlineStr">
        <is>
          <t>UX, Frontend e Conteúdo</t>
        </is>
      </c>
      <c r="E409" s="4" t="inlineStr">
        <is>
          <t>Pendente</t>
        </is>
      </c>
      <c r="F409" s="4" t="inlineStr"/>
      <c r="G409" s="2">
        <f>IF(AND(E409="Concluída",LEN(TRIM(F409))&gt;0),1,0)</f>
        <v/>
      </c>
      <c r="H409" s="4" t="inlineStr"/>
    </row>
    <row r="410" ht="54" customHeight="1">
      <c r="A410" s="2" t="inlineStr">
        <is>
          <t>E041</t>
        </is>
      </c>
      <c r="B410" s="2" t="inlineStr">
        <is>
          <t>E041.09</t>
        </is>
      </c>
      <c r="C410" s="2" t="inlineStr">
        <is>
          <t>Validar contraste, teclado, autofill e mensagens em largura móvel.</t>
        </is>
      </c>
      <c r="D410" s="2" t="inlineStr">
        <is>
          <t>UX, Frontend e Conteúdo</t>
        </is>
      </c>
      <c r="E410" s="4" t="inlineStr">
        <is>
          <t>Pendente</t>
        </is>
      </c>
      <c r="F410" s="4" t="inlineStr"/>
      <c r="G410" s="2">
        <f>IF(AND(E410="Concluída",LEN(TRIM(F410))&gt;0),1,0)</f>
        <v/>
      </c>
      <c r="H410" s="4" t="inlineStr"/>
    </row>
    <row r="411" ht="54" customHeight="1">
      <c r="A411" s="2" t="inlineStr">
        <is>
          <t>E041</t>
        </is>
      </c>
      <c r="B411" s="2" t="inlineStr">
        <is>
          <t>E041.10</t>
        </is>
      </c>
      <c r="C411" s="2" t="inlineStr">
        <is>
          <t>Homologar entrada e retorno seguro ao destino autorizado solicitado.</t>
        </is>
      </c>
      <c r="D411" s="2" t="inlineStr">
        <is>
          <t>UX, Frontend e Conteúdo</t>
        </is>
      </c>
      <c r="E411" s="4" t="inlineStr">
        <is>
          <t>Pendente</t>
        </is>
      </c>
      <c r="F411" s="4" t="inlineStr"/>
      <c r="G411" s="2">
        <f>IF(AND(E411="Concluída",LEN(TRIM(F411))&gt;0),1,0)</f>
        <v/>
      </c>
      <c r="H411" s="4" t="inlineStr"/>
    </row>
    <row r="412" ht="54" customHeight="1">
      <c r="A412" s="2" t="inlineStr">
        <is>
          <t>E042</t>
        </is>
      </c>
      <c r="B412" s="2" t="inlineStr">
        <is>
          <t>E042.01</t>
        </is>
      </c>
      <c r="C412" s="2" t="inlineStr">
        <is>
          <t>Priorizar pendências de arte, despesa, correção e recebimento.</t>
        </is>
      </c>
      <c r="D412" s="2" t="inlineStr">
        <is>
          <t>UX, Frontend e Produto</t>
        </is>
      </c>
      <c r="E412" s="4" t="inlineStr">
        <is>
          <t>Pendente</t>
        </is>
      </c>
      <c r="F412" s="4" t="inlineStr"/>
      <c r="G412" s="2">
        <f>IF(AND(E412="Concluída",LEN(TRIM(F412))&gt;0),1,0)</f>
        <v/>
      </c>
      <c r="H412" s="4" t="inlineStr"/>
    </row>
    <row r="413" ht="54" customHeight="1">
      <c r="A413" s="2" t="inlineStr">
        <is>
          <t>E042</t>
        </is>
      </c>
      <c r="B413" s="2" t="inlineStr">
        <is>
          <t>E042.02</t>
        </is>
      </c>
      <c r="C413" s="2" t="inlineStr">
        <is>
          <t>Exibir cooperativa, unidade e período que contextualizam os dados.</t>
        </is>
      </c>
      <c r="D413" s="2" t="inlineStr">
        <is>
          <t>UX, Frontend e Produto</t>
        </is>
      </c>
      <c r="E413" s="4" t="inlineStr">
        <is>
          <t>Pendente</t>
        </is>
      </c>
      <c r="F413" s="4" t="inlineStr"/>
      <c r="G413" s="2">
        <f>IF(AND(E413="Concluída",LEN(TRIM(F413))&gt;0),1,0)</f>
        <v/>
      </c>
      <c r="H413" s="4" t="inlineStr"/>
    </row>
    <row r="414" ht="54" customHeight="1">
      <c r="A414" s="2" t="inlineStr">
        <is>
          <t>E042</t>
        </is>
      </c>
      <c r="B414" s="2" t="inlineStr">
        <is>
          <t>E042.03</t>
        </is>
      </c>
      <c r="C414" s="2" t="inlineStr">
        <is>
          <t>Apresentar saldo apenas quando o contrato de verba estiver consistente.</t>
        </is>
      </c>
      <c r="D414" s="2" t="inlineStr">
        <is>
          <t>UX, Frontend e Produto</t>
        </is>
      </c>
      <c r="E414" s="4" t="inlineStr">
        <is>
          <t>Pendente</t>
        </is>
      </c>
      <c r="F414" s="4" t="inlineStr"/>
      <c r="G414" s="2">
        <f>IF(AND(E414="Concluída",LEN(TRIM(F414))&gt;0),1,0)</f>
        <v/>
      </c>
      <c r="H414" s="4" t="inlineStr"/>
    </row>
    <row r="415" ht="54" customHeight="1">
      <c r="A415" s="2" t="inlineStr">
        <is>
          <t>E042</t>
        </is>
      </c>
      <c r="B415" s="2" t="inlineStr">
        <is>
          <t>E042.04</t>
        </is>
      </c>
      <c r="C415" s="2" t="inlineStr">
        <is>
          <t>Criar atalhos para nova solicitação e continuidade de rascunho.</t>
        </is>
      </c>
      <c r="D415" s="2" t="inlineStr">
        <is>
          <t>UX, Frontend e Produto</t>
        </is>
      </c>
      <c r="E415" s="4" t="inlineStr">
        <is>
          <t>Pendente</t>
        </is>
      </c>
      <c r="F415" s="4" t="inlineStr"/>
      <c r="G415" s="2">
        <f>IF(AND(E415="Concluída",LEN(TRIM(F415))&gt;0),1,0)</f>
        <v/>
      </c>
      <c r="H415" s="4" t="inlineStr"/>
    </row>
    <row r="416" ht="54" customHeight="1">
      <c r="A416" s="2" t="inlineStr">
        <is>
          <t>E042</t>
        </is>
      </c>
      <c r="B416" s="2" t="inlineStr">
        <is>
          <t>E042.05</t>
        </is>
      </c>
      <c r="C416" s="2" t="inlineStr">
        <is>
          <t>Separar alertas de prazo das mensagens meramente informativas.</t>
        </is>
      </c>
      <c r="D416" s="2" t="inlineStr">
        <is>
          <t>UX, Frontend e Produto</t>
        </is>
      </c>
      <c r="E416" s="4" t="inlineStr">
        <is>
          <t>Pendente</t>
        </is>
      </c>
      <c r="F416" s="4" t="inlineStr"/>
      <c r="G416" s="2">
        <f>IF(AND(E416="Concluída",LEN(TRIM(F416))&gt;0),1,0)</f>
        <v/>
      </c>
      <c r="H416" s="4" t="inlineStr"/>
    </row>
    <row r="417" ht="54" customHeight="1">
      <c r="A417" s="2" t="inlineStr">
        <is>
          <t>E042</t>
        </is>
      </c>
      <c r="B417" s="2" t="inlineStr">
        <is>
          <t>E042.06</t>
        </is>
      </c>
      <c r="C417" s="2" t="inlineStr">
        <is>
          <t>Mostrar pedidos recentes com estágio e próxima ação verificáveis.</t>
        </is>
      </c>
      <c r="D417" s="2" t="inlineStr">
        <is>
          <t>UX, Frontend e Produto</t>
        </is>
      </c>
      <c r="E417" s="4" t="inlineStr">
        <is>
          <t>Pendente</t>
        </is>
      </c>
      <c r="F417" s="4" t="inlineStr"/>
      <c r="G417" s="2">
        <f>IF(AND(E417="Concluída",LEN(TRIM(F417))&gt;0),1,0)</f>
        <v/>
      </c>
      <c r="H417" s="4" t="inlineStr"/>
    </row>
    <row r="418" ht="54" customHeight="1">
      <c r="A418" s="2" t="inlineStr">
        <is>
          <t>E042</t>
        </is>
      </c>
      <c r="B418" s="2" t="inlineStr">
        <is>
          <t>E042.07</t>
        </is>
      </c>
      <c r="C418" s="2" t="inlineStr">
        <is>
          <t>Omitir previsões, probabilidades e contadores sem origem real.</t>
        </is>
      </c>
      <c r="D418" s="2" t="inlineStr">
        <is>
          <t>UX, Frontend e Produto</t>
        </is>
      </c>
      <c r="E418" s="4" t="inlineStr">
        <is>
          <t>Pendente</t>
        </is>
      </c>
      <c r="F418" s="4" t="inlineStr"/>
      <c r="G418" s="2">
        <f>IF(AND(E418="Concluída",LEN(TRIM(F418))&gt;0),1,0)</f>
        <v/>
      </c>
      <c r="H418" s="4" t="inlineStr"/>
    </row>
    <row r="419" ht="54" customHeight="1">
      <c r="A419" s="2" t="inlineStr">
        <is>
          <t>E042</t>
        </is>
      </c>
      <c r="B419" s="2" t="inlineStr">
        <is>
          <t>E042.08</t>
        </is>
      </c>
      <c r="C419" s="2" t="inlineStr">
        <is>
          <t>Projetar primeiro acesso sem dados com orientação acionável.</t>
        </is>
      </c>
      <c r="D419" s="2" t="inlineStr">
        <is>
          <t>UX, Frontend e Produto</t>
        </is>
      </c>
      <c r="E419" s="4" t="inlineStr">
        <is>
          <t>Pendente</t>
        </is>
      </c>
      <c r="F419" s="4" t="inlineStr"/>
      <c r="G419" s="2">
        <f>IF(AND(E419="Concluída",LEN(TRIM(F419))&gt;0),1,0)</f>
        <v/>
      </c>
      <c r="H419" s="4" t="inlineStr"/>
    </row>
    <row r="420" ht="54" customHeight="1">
      <c r="A420" s="2" t="inlineStr">
        <is>
          <t>E042</t>
        </is>
      </c>
      <c r="B420" s="2" t="inlineStr">
        <is>
          <t>E042.09</t>
        </is>
      </c>
      <c r="C420" s="2" t="inlineStr">
        <is>
          <t>Respeitar permissões ao consultar indicadores agregados.</t>
        </is>
      </c>
      <c r="D420" s="2" t="inlineStr">
        <is>
          <t>UX, Frontend e Produto</t>
        </is>
      </c>
      <c r="E420" s="4" t="inlineStr">
        <is>
          <t>Pendente</t>
        </is>
      </c>
      <c r="F420" s="4" t="inlineStr"/>
      <c r="G420" s="2">
        <f>IF(AND(E420="Concluída",LEN(TRIM(F420))&gt;0),1,0)</f>
        <v/>
      </c>
      <c r="H420" s="4" t="inlineStr"/>
    </row>
    <row r="421" ht="54" customHeight="1">
      <c r="A421" s="2" t="inlineStr">
        <is>
          <t>E042</t>
        </is>
      </c>
      <c r="B421" s="2" t="inlineStr">
        <is>
          <t>E042.10</t>
        </is>
      </c>
      <c r="C421" s="2" t="inlineStr">
        <is>
          <t>Validar que cada perfil identifica sua principal pendência sem ajuda.</t>
        </is>
      </c>
      <c r="D421" s="2" t="inlineStr">
        <is>
          <t>UX, Frontend e Produto</t>
        </is>
      </c>
      <c r="E421" s="4" t="inlineStr">
        <is>
          <t>Pendente</t>
        </is>
      </c>
      <c r="F421" s="4" t="inlineStr"/>
      <c r="G421" s="2">
        <f>IF(AND(E421="Concluída",LEN(TRIM(F421))&gt;0),1,0)</f>
        <v/>
      </c>
      <c r="H421" s="4" t="inlineStr"/>
    </row>
    <row r="422" ht="54" customHeight="1">
      <c r="A422" s="2" t="inlineStr">
        <is>
          <t>E043</t>
        </is>
      </c>
      <c r="B422" s="2" t="inlineStr">
        <is>
          <t>E043.01</t>
        </is>
      </c>
      <c r="C422" s="2" t="inlineStr">
        <is>
          <t>Conectar a listagem ao adaptador de leitura autorizado.</t>
        </is>
      </c>
      <c r="D422" s="2" t="inlineStr">
        <is>
          <t>Frontend, UX e Catálogo</t>
        </is>
      </c>
      <c r="E422" s="4" t="inlineStr">
        <is>
          <t>Pendente</t>
        </is>
      </c>
      <c r="F422" s="4" t="inlineStr"/>
      <c r="G422" s="2">
        <f>IF(AND(E422="Concluída",LEN(TRIM(F422))&gt;0),1,0)</f>
        <v/>
      </c>
      <c r="H422" s="4" t="inlineStr"/>
    </row>
    <row r="423" ht="54" customHeight="1">
      <c r="A423" s="2" t="inlineStr">
        <is>
          <t>E043</t>
        </is>
      </c>
      <c r="B423" s="2" t="inlineStr">
        <is>
          <t>E043.02</t>
        </is>
      </c>
      <c r="C423" s="2" t="inlineStr">
        <is>
          <t>Exibir nome, imagem, variante e identificador de produto consistentes.</t>
        </is>
      </c>
      <c r="D423" s="2" t="inlineStr">
        <is>
          <t>Frontend, UX e Catálogo</t>
        </is>
      </c>
      <c r="E423" s="4" t="inlineStr">
        <is>
          <t>Pendente</t>
        </is>
      </c>
      <c r="F423" s="4" t="inlineStr"/>
      <c r="G423" s="2">
        <f>IF(AND(E423="Concluída",LEN(TRIM(F423))&gt;0),1,0)</f>
        <v/>
      </c>
      <c r="H423" s="4" t="inlineStr"/>
    </row>
    <row r="424" ht="54" customHeight="1">
      <c r="A424" s="2" t="inlineStr">
        <is>
          <t>E043</t>
        </is>
      </c>
      <c r="B424" s="2" t="inlineStr">
        <is>
          <t>E043.03</t>
        </is>
      </c>
      <c r="C424" s="2" t="inlineStr">
        <is>
          <t>Informar preço como estimativa ou condição vigente conforme o contrato.</t>
        </is>
      </c>
      <c r="D424" s="2" t="inlineStr">
        <is>
          <t>Frontend, UX e Catálogo</t>
        </is>
      </c>
      <c r="E424" s="4" t="inlineStr">
        <is>
          <t>Pendente</t>
        </is>
      </c>
      <c r="F424" s="4" t="inlineStr"/>
      <c r="G424" s="2">
        <f>IF(AND(E424="Concluída",LEN(TRIM(F424))&gt;0),1,0)</f>
        <v/>
      </c>
      <c r="H424" s="4" t="inlineStr"/>
    </row>
    <row r="425" ht="54" customHeight="1">
      <c r="A425" s="2" t="inlineStr">
        <is>
          <t>E043</t>
        </is>
      </c>
      <c r="B425" s="2" t="inlineStr">
        <is>
          <t>E043.04</t>
        </is>
      </c>
      <c r="C425" s="2" t="inlineStr">
        <is>
          <t>Mostrar mínimo e múltiplo de compra quando conhecidos.</t>
        </is>
      </c>
      <c r="D425" s="2" t="inlineStr">
        <is>
          <t>Frontend, UX e Catálogo</t>
        </is>
      </c>
      <c r="E425" s="4" t="inlineStr">
        <is>
          <t>Pendente</t>
        </is>
      </c>
      <c r="F425" s="4" t="inlineStr"/>
      <c r="G425" s="2">
        <f>IF(AND(E425="Concluída",LEN(TRIM(F425))&gt;0),1,0)</f>
        <v/>
      </c>
      <c r="H425" s="4" t="inlineStr"/>
    </row>
    <row r="426" ht="54" customHeight="1">
      <c r="A426" s="2" t="inlineStr">
        <is>
          <t>E043</t>
        </is>
      </c>
      <c r="B426" s="2" t="inlineStr">
        <is>
          <t>E043.05</t>
        </is>
      </c>
      <c r="C426" s="2" t="inlineStr">
        <is>
          <t>Apresentar disponibilidade com horário e limite de confiabilidade.</t>
        </is>
      </c>
      <c r="D426" s="2" t="inlineStr">
        <is>
          <t>Frontend, UX e Catálogo</t>
        </is>
      </c>
      <c r="E426" s="4" t="inlineStr">
        <is>
          <t>Pendente</t>
        </is>
      </c>
      <c r="F426" s="4" t="inlineStr"/>
      <c r="G426" s="2">
        <f>IF(AND(E426="Concluída",LEN(TRIM(F426))&gt;0),1,0)</f>
        <v/>
      </c>
      <c r="H426" s="4" t="inlineStr"/>
    </row>
    <row r="427" ht="54" customHeight="1">
      <c r="A427" s="2" t="inlineStr">
        <is>
          <t>E043</t>
        </is>
      </c>
      <c r="B427" s="2" t="inlineStr">
        <is>
          <t>E043.06</t>
        </is>
      </c>
      <c r="C427" s="2" t="inlineStr">
        <is>
          <t>Separar produto indisponível de falha de integração.</t>
        </is>
      </c>
      <c r="D427" s="2" t="inlineStr">
        <is>
          <t>Frontend, UX e Catálogo</t>
        </is>
      </c>
      <c r="E427" s="4" t="inlineStr">
        <is>
          <t>Pendente</t>
        </is>
      </c>
      <c r="F427" s="4" t="inlineStr"/>
      <c r="G427" s="2">
        <f>IF(AND(E427="Concluída",LEN(TRIM(F427))&gt;0),1,0)</f>
        <v/>
      </c>
      <c r="H427" s="4" t="inlineStr"/>
    </row>
    <row r="428" ht="54" customHeight="1">
      <c r="A428" s="2" t="inlineStr">
        <is>
          <t>E043</t>
        </is>
      </c>
      <c r="B428" s="2" t="inlineStr">
        <is>
          <t>E043.07</t>
        </is>
      </c>
      <c r="C428" s="2" t="inlineStr">
        <is>
          <t>Permitir abrir detalhes sem perder posição na listagem.</t>
        </is>
      </c>
      <c r="D428" s="2" t="inlineStr">
        <is>
          <t>Frontend, UX e Catálogo</t>
        </is>
      </c>
      <c r="E428" s="4" t="inlineStr">
        <is>
          <t>Pendente</t>
        </is>
      </c>
      <c r="F428" s="4" t="inlineStr"/>
      <c r="G428" s="2">
        <f>IF(AND(E428="Concluída",LEN(TRIM(F428))&gt;0),1,0)</f>
        <v/>
      </c>
      <c r="H428" s="4" t="inlineStr"/>
    </row>
    <row r="429" ht="54" customHeight="1">
      <c r="A429" s="2" t="inlineStr">
        <is>
          <t>E043</t>
        </is>
      </c>
      <c r="B429" s="2" t="inlineStr">
        <is>
          <t>E043.08</t>
        </is>
      </c>
      <c r="C429" s="2" t="inlineStr">
        <is>
          <t>Carregar imagens e próximas páginas conforme necessidade de uso.</t>
        </is>
      </c>
      <c r="D429" s="2" t="inlineStr">
        <is>
          <t>Frontend, UX e Catálogo</t>
        </is>
      </c>
      <c r="E429" s="4" t="inlineStr">
        <is>
          <t>Pendente</t>
        </is>
      </c>
      <c r="F429" s="4" t="inlineStr"/>
      <c r="G429" s="2">
        <f>IF(AND(E429="Concluída",LEN(TRIM(F429))&gt;0),1,0)</f>
        <v/>
      </c>
      <c r="H429" s="4" t="inlineStr"/>
    </row>
    <row r="430" ht="54" customHeight="1">
      <c r="A430" s="2" t="inlineStr">
        <is>
          <t>E043</t>
        </is>
      </c>
      <c r="B430" s="2" t="inlineStr">
        <is>
          <t>E043.09</t>
        </is>
      </c>
      <c r="C430" s="2" t="inlineStr">
        <is>
          <t>Verificar navegação acessível quando houver virtualização de itens.</t>
        </is>
      </c>
      <c r="D430" s="2" t="inlineStr">
        <is>
          <t>Frontend, UX e Catálogo</t>
        </is>
      </c>
      <c r="E430" s="4" t="inlineStr">
        <is>
          <t>Pendente</t>
        </is>
      </c>
      <c r="F430" s="4" t="inlineStr"/>
      <c r="G430" s="2">
        <f>IF(AND(E430="Concluída",LEN(TRIM(F430))&gt;0),1,0)</f>
        <v/>
      </c>
      <c r="H430" s="4" t="inlineStr"/>
    </row>
    <row r="431" ht="54" customHeight="1">
      <c r="A431" s="2" t="inlineStr">
        <is>
          <t>E043</t>
        </is>
      </c>
      <c r="B431" s="2" t="inlineStr">
        <is>
          <t>E043.10</t>
        </is>
      </c>
      <c r="C431" s="2" t="inlineStr">
        <is>
          <t>Validar uma amostra real sem alterações no cadastro mestre.</t>
        </is>
      </c>
      <c r="D431" s="2" t="inlineStr">
        <is>
          <t>Frontend, UX e Catálogo</t>
        </is>
      </c>
      <c r="E431" s="4" t="inlineStr">
        <is>
          <t>Pendente</t>
        </is>
      </c>
      <c r="F431" s="4" t="inlineStr"/>
      <c r="G431" s="2">
        <f>IF(AND(E431="Concluída",LEN(TRIM(F431))&gt;0),1,0)</f>
        <v/>
      </c>
      <c r="H431" s="4" t="inlineStr"/>
    </row>
    <row r="432" ht="54" customHeight="1">
      <c r="A432" s="2" t="inlineStr">
        <is>
          <t>E044</t>
        </is>
      </c>
      <c r="B432" s="2" t="inlineStr">
        <is>
          <t>E044.01</t>
        </is>
      </c>
      <c r="C432" s="2" t="inlineStr">
        <is>
          <t>Disponibilizar campo de busca em posição consistente do catálogo.</t>
        </is>
      </c>
      <c r="D432" s="2" t="inlineStr">
        <is>
          <t>Frontend e Engenharia de busca</t>
        </is>
      </c>
      <c r="E432" s="4" t="inlineStr">
        <is>
          <t>Pendente</t>
        </is>
      </c>
      <c r="F432" s="4" t="inlineStr"/>
      <c r="G432" s="2">
        <f>IF(AND(E432="Concluída",LEN(TRIM(F432))&gt;0),1,0)</f>
        <v/>
      </c>
      <c r="H432" s="4" t="inlineStr"/>
    </row>
    <row r="433" ht="54" customHeight="1">
      <c r="A433" s="2" t="inlineStr">
        <is>
          <t>E044</t>
        </is>
      </c>
      <c r="B433" s="2" t="inlineStr">
        <is>
          <t>E044.02</t>
        </is>
      </c>
      <c r="C433" s="2" t="inlineStr">
        <is>
          <t>Implementar consulta por nome e correspondência exata de código.</t>
        </is>
      </c>
      <c r="D433" s="2" t="inlineStr">
        <is>
          <t>Frontend e Engenharia de busca</t>
        </is>
      </c>
      <c r="E433" s="4" t="inlineStr">
        <is>
          <t>Pendente</t>
        </is>
      </c>
      <c r="F433" s="4" t="inlineStr"/>
      <c r="G433" s="2">
        <f>IF(AND(E433="Concluída",LEN(TRIM(F433))&gt;0),1,0)</f>
        <v/>
      </c>
      <c r="H433" s="4" t="inlineStr"/>
    </row>
    <row r="434" ht="54" customHeight="1">
      <c r="A434" s="2" t="inlineStr">
        <is>
          <t>E044</t>
        </is>
      </c>
      <c r="B434" s="2" t="inlineStr">
        <is>
          <t>E044.03</t>
        </is>
      </c>
      <c r="C434" s="2" t="inlineStr">
        <is>
          <t>Aplicar normalização e sinônimos aprovados ao mecanismo disponível.</t>
        </is>
      </c>
      <c r="D434" s="2" t="inlineStr">
        <is>
          <t>Frontend e Engenharia de busca</t>
        </is>
      </c>
      <c r="E434" s="4" t="inlineStr">
        <is>
          <t>Pendente</t>
        </is>
      </c>
      <c r="F434" s="4" t="inlineStr"/>
      <c r="G434" s="2">
        <f>IF(AND(E434="Concluída",LEN(TRIM(F434))&gt;0),1,0)</f>
        <v/>
      </c>
      <c r="H434" s="4" t="inlineStr"/>
    </row>
    <row r="435" ht="54" customHeight="1">
      <c r="A435" s="2" t="inlineStr">
        <is>
          <t>E044</t>
        </is>
      </c>
      <c r="B435" s="2" t="inlineStr">
        <is>
          <t>E044.04</t>
        </is>
      </c>
      <c r="C435" s="2" t="inlineStr">
        <is>
          <t>Oferecer sugestões navegáveis por teclado com significado explícito.</t>
        </is>
      </c>
      <c r="D435" s="2" t="inlineStr">
        <is>
          <t>Frontend e Engenharia de busca</t>
        </is>
      </c>
      <c r="E435" s="4" t="inlineStr">
        <is>
          <t>Pendente</t>
        </is>
      </c>
      <c r="F435" s="4" t="inlineStr"/>
      <c r="G435" s="2">
        <f>IF(AND(E435="Concluída",LEN(TRIM(F435))&gt;0),1,0)</f>
        <v/>
      </c>
      <c r="H435" s="4" t="inlineStr"/>
    </row>
    <row r="436" ht="54" customHeight="1">
      <c r="A436" s="2" t="inlineStr">
        <is>
          <t>E044</t>
        </is>
      </c>
      <c r="B436" s="2" t="inlineStr">
        <is>
          <t>E044.05</t>
        </is>
      </c>
      <c r="C436" s="2" t="inlineStr">
        <is>
          <t>Preservar a consulta ao abrir produto e voltar aos resultados.</t>
        </is>
      </c>
      <c r="D436" s="2" t="inlineStr">
        <is>
          <t>Frontend e Engenharia de busca</t>
        </is>
      </c>
      <c r="E436" s="4" t="inlineStr">
        <is>
          <t>Pendente</t>
        </is>
      </c>
      <c r="F436" s="4" t="inlineStr"/>
      <c r="G436" s="2">
        <f>IF(AND(E436="Concluída",LEN(TRIM(F436))&gt;0),1,0)</f>
        <v/>
      </c>
      <c r="H436" s="4" t="inlineStr"/>
    </row>
    <row r="437" ht="54" customHeight="1">
      <c r="A437" s="2" t="inlineStr">
        <is>
          <t>E044</t>
        </is>
      </c>
      <c r="B437" s="2" t="inlineStr">
        <is>
          <t>E044.06</t>
        </is>
      </c>
      <c r="C437" s="2" t="inlineStr">
        <is>
          <t>Apresentar correção sugerida sem apagar a busca original.</t>
        </is>
      </c>
      <c r="D437" s="2" t="inlineStr">
        <is>
          <t>Frontend e Engenharia de busca</t>
        </is>
      </c>
      <c r="E437" s="4" t="inlineStr">
        <is>
          <t>Pendente</t>
        </is>
      </c>
      <c r="F437" s="4" t="inlineStr"/>
      <c r="G437" s="2">
        <f>IF(AND(E437="Concluída",LEN(TRIM(F437))&gt;0),1,0)</f>
        <v/>
      </c>
      <c r="H437" s="4" t="inlineStr"/>
    </row>
    <row r="438" ht="54" customHeight="1">
      <c r="A438" s="2" t="inlineStr">
        <is>
          <t>E044</t>
        </is>
      </c>
      <c r="B438" s="2" t="inlineStr">
        <is>
          <t>E044.07</t>
        </is>
      </c>
      <c r="C438" s="2" t="inlineStr">
        <is>
          <t>Mostrar alternativas de refinamento quando não houver correspondência.</t>
        </is>
      </c>
      <c r="D438" s="2" t="inlineStr">
        <is>
          <t>Frontend e Engenharia de busca</t>
        </is>
      </c>
      <c r="E438" s="4" t="inlineStr">
        <is>
          <t>Pendente</t>
        </is>
      </c>
      <c r="F438" s="4" t="inlineStr"/>
      <c r="G438" s="2">
        <f>IF(AND(E438="Concluída",LEN(TRIM(F438))&gt;0),1,0)</f>
        <v/>
      </c>
      <c r="H438" s="4" t="inlineStr"/>
    </row>
    <row r="439" ht="54" customHeight="1">
      <c r="A439" s="2" t="inlineStr">
        <is>
          <t>E044</t>
        </is>
      </c>
      <c r="B439" s="2" t="inlineStr">
        <is>
          <t>E044.08</t>
        </is>
      </c>
      <c r="C439" s="2" t="inlineStr">
        <is>
          <t>Tratar latência e falha sem repetir consulta indefinidamente.</t>
        </is>
      </c>
      <c r="D439" s="2" t="inlineStr">
        <is>
          <t>Frontend e Engenharia de busca</t>
        </is>
      </c>
      <c r="E439" s="4" t="inlineStr">
        <is>
          <t>Pendente</t>
        </is>
      </c>
      <c r="F439" s="4" t="inlineStr"/>
      <c r="G439" s="2">
        <f>IF(AND(E439="Concluída",LEN(TRIM(F439))&gt;0),1,0)</f>
        <v/>
      </c>
      <c r="H439" s="4" t="inlineStr"/>
    </row>
    <row r="440" ht="54" customHeight="1">
      <c r="A440" s="2" t="inlineStr">
        <is>
          <t>E044</t>
        </is>
      </c>
      <c r="B440" s="2" t="inlineStr">
        <is>
          <t>E044.09</t>
        </is>
      </c>
      <c r="C440" s="2" t="inlineStr">
        <is>
          <t>Registrar eventos de busca sem conteúdo pessoal desnecessário.</t>
        </is>
      </c>
      <c r="D440" s="2" t="inlineStr">
        <is>
          <t>Frontend e Engenharia de busca</t>
        </is>
      </c>
      <c r="E440" s="4" t="inlineStr">
        <is>
          <t>Pendente</t>
        </is>
      </c>
      <c r="F440" s="4" t="inlineStr"/>
      <c r="G440" s="2">
        <f>IF(AND(E440="Concluída",LEN(TRIM(F440))&gt;0),1,0)</f>
        <v/>
      </c>
      <c r="H440" s="4" t="inlineStr"/>
    </row>
    <row r="441" ht="54" customHeight="1">
      <c r="A441" s="2" t="inlineStr">
        <is>
          <t>E044</t>
        </is>
      </c>
      <c r="B441" s="2" t="inlineStr">
        <is>
          <t>E044.10</t>
        </is>
      </c>
      <c r="C441" s="2" t="inlineStr">
        <is>
          <t>Executar o conjunto de avaliação e corrigir resultados críticos inadequados.</t>
        </is>
      </c>
      <c r="D441" s="2" t="inlineStr">
        <is>
          <t>Frontend e Engenharia de busca</t>
        </is>
      </c>
      <c r="E441" s="4" t="inlineStr">
        <is>
          <t>Pendente</t>
        </is>
      </c>
      <c r="F441" s="4" t="inlineStr"/>
      <c r="G441" s="2">
        <f>IF(AND(E441="Concluída",LEN(TRIM(F441))&gt;0),1,0)</f>
        <v/>
      </c>
      <c r="H441" s="4" t="inlineStr"/>
    </row>
    <row r="442" ht="54" customHeight="1">
      <c r="A442" s="2" t="inlineStr">
        <is>
          <t>E045</t>
        </is>
      </c>
      <c r="B442" s="2" t="inlineStr">
        <is>
          <t>E045.01</t>
        </is>
      </c>
      <c r="C442" s="2" t="inlineStr">
        <is>
          <t>Conectar grupos de filtros aos atributos autorizados do catálogo.</t>
        </is>
      </c>
      <c r="D442" s="2" t="inlineStr">
        <is>
          <t>Frontend e UX</t>
        </is>
      </c>
      <c r="E442" s="4" t="inlineStr">
        <is>
          <t>Pendente</t>
        </is>
      </c>
      <c r="F442" s="4" t="inlineStr"/>
      <c r="G442" s="2">
        <f>IF(AND(E442="Concluída",LEN(TRIM(F442))&gt;0),1,0)</f>
        <v/>
      </c>
      <c r="H442" s="4" t="inlineStr"/>
    </row>
    <row r="443" ht="54" customHeight="1">
      <c r="A443" s="2" t="inlineStr">
        <is>
          <t>E045</t>
        </is>
      </c>
      <c r="B443" s="2" t="inlineStr">
        <is>
          <t>E045.02</t>
        </is>
      </c>
      <c r="C443" s="2" t="inlineStr">
        <is>
          <t>Mostrar seleção ativa fora dos painéis recolhidos.</t>
        </is>
      </c>
      <c r="D443" s="2" t="inlineStr">
        <is>
          <t>Frontend e UX</t>
        </is>
      </c>
      <c r="E443" s="4" t="inlineStr">
        <is>
          <t>Pendente</t>
        </is>
      </c>
      <c r="F443" s="4" t="inlineStr"/>
      <c r="G443" s="2">
        <f>IF(AND(E443="Concluída",LEN(TRIM(F443))&gt;0),1,0)</f>
        <v/>
      </c>
      <c r="H443" s="4" t="inlineStr"/>
    </row>
    <row r="444" ht="54" customHeight="1">
      <c r="A444" s="2" t="inlineStr">
        <is>
          <t>E045</t>
        </is>
      </c>
      <c r="B444" s="2" t="inlineStr">
        <is>
          <t>E045.03</t>
        </is>
      </c>
      <c r="C444" s="2" t="inlineStr">
        <is>
          <t>Implementar remoção individual e limpeza completa dos critérios.</t>
        </is>
      </c>
      <c r="D444" s="2" t="inlineStr">
        <is>
          <t>Frontend e UX</t>
        </is>
      </c>
      <c r="E444" s="4" t="inlineStr">
        <is>
          <t>Pendente</t>
        </is>
      </c>
      <c r="F444" s="4" t="inlineStr"/>
      <c r="G444" s="2">
        <f>IF(AND(E444="Concluída",LEN(TRIM(F444))&gt;0),1,0)</f>
        <v/>
      </c>
      <c r="H444" s="4" t="inlineStr"/>
    </row>
    <row r="445" ht="54" customHeight="1">
      <c r="A445" s="2" t="inlineStr">
        <is>
          <t>E045</t>
        </is>
      </c>
      <c r="B445" s="2" t="inlineStr">
        <is>
          <t>E045.04</t>
        </is>
      </c>
      <c r="C445" s="2" t="inlineStr">
        <is>
          <t>Diferenciar opção sem resultado de informação indisponível.</t>
        </is>
      </c>
      <c r="D445" s="2" t="inlineStr">
        <is>
          <t>Frontend e UX</t>
        </is>
      </c>
      <c r="E445" s="4" t="inlineStr">
        <is>
          <t>Pendente</t>
        </is>
      </c>
      <c r="F445" s="4" t="inlineStr"/>
      <c r="G445" s="2">
        <f>IF(AND(E445="Concluída",LEN(TRIM(F445))&gt;0),1,0)</f>
        <v/>
      </c>
      <c r="H445" s="4" t="inlineStr"/>
    </row>
    <row r="446" ht="54" customHeight="1">
      <c r="A446" s="2" t="inlineStr">
        <is>
          <t>E045</t>
        </is>
      </c>
      <c r="B446" s="2" t="inlineStr">
        <is>
          <t>E045.05</t>
        </is>
      </c>
      <c r="C446" s="2" t="inlineStr">
        <is>
          <t>Manter ordenação e filtros no retorno da página de produto.</t>
        </is>
      </c>
      <c r="D446" s="2" t="inlineStr">
        <is>
          <t>Frontend e UX</t>
        </is>
      </c>
      <c r="E446" s="4" t="inlineStr">
        <is>
          <t>Pendente</t>
        </is>
      </c>
      <c r="F446" s="4" t="inlineStr"/>
      <c r="G446" s="2">
        <f>IF(AND(E446="Concluída",LEN(TRIM(F446))&gt;0),1,0)</f>
        <v/>
      </c>
      <c r="H446" s="4" t="inlineStr"/>
    </row>
    <row r="447" ht="54" customHeight="1">
      <c r="A447" s="2" t="inlineStr">
        <is>
          <t>E045</t>
        </is>
      </c>
      <c r="B447" s="2" t="inlineStr">
        <is>
          <t>E045.06</t>
        </is>
      </c>
      <c r="C447" s="2" t="inlineStr">
        <is>
          <t>Definir persistência segura por contexto e parâmetros compartilháveis permitidos.</t>
        </is>
      </c>
      <c r="D447" s="2" t="inlineStr">
        <is>
          <t>Frontend e UX</t>
        </is>
      </c>
      <c r="E447" s="4" t="inlineStr">
        <is>
          <t>Pendente</t>
        </is>
      </c>
      <c r="F447" s="4" t="inlineStr"/>
      <c r="G447" s="2">
        <f>IF(AND(E447="Concluída",LEN(TRIM(F447))&gt;0),1,0)</f>
        <v/>
      </c>
      <c r="H447" s="4" t="inlineStr"/>
    </row>
    <row r="448" ht="54" customHeight="1">
      <c r="A448" s="2" t="inlineStr">
        <is>
          <t>E045</t>
        </is>
      </c>
      <c r="B448" s="2" t="inlineStr">
        <is>
          <t>E045.07</t>
        </is>
      </c>
      <c r="C448" s="2" t="inlineStr">
        <is>
          <t>Apresentar painel móvel com aplicar, limpar e fechar compreensíveis.</t>
        </is>
      </c>
      <c r="D448" s="2" t="inlineStr">
        <is>
          <t>Frontend e UX</t>
        </is>
      </c>
      <c r="E448" s="4" t="inlineStr">
        <is>
          <t>Pendente</t>
        </is>
      </c>
      <c r="F448" s="4" t="inlineStr"/>
      <c r="G448" s="2">
        <f>IF(AND(E448="Concluída",LEN(TRIM(F448))&gt;0),1,0)</f>
        <v/>
      </c>
      <c r="H448" s="4" t="inlineStr"/>
    </row>
    <row r="449" ht="54" customHeight="1">
      <c r="A449" s="2" t="inlineStr">
        <is>
          <t>E045</t>
        </is>
      </c>
      <c r="B449" s="2" t="inlineStr">
        <is>
          <t>E045.08</t>
        </is>
      </c>
      <c r="C449" s="2" t="inlineStr">
        <is>
          <t>Restaurar foco após fechar painel ou remover um filtro.</t>
        </is>
      </c>
      <c r="D449" s="2" t="inlineStr">
        <is>
          <t>Frontend e UX</t>
        </is>
      </c>
      <c r="E449" s="4" t="inlineStr">
        <is>
          <t>Pendente</t>
        </is>
      </c>
      <c r="F449" s="4" t="inlineStr"/>
      <c r="G449" s="2">
        <f>IF(AND(E449="Concluída",LEN(TRIM(F449))&gt;0),1,0)</f>
        <v/>
      </c>
      <c r="H449" s="4" t="inlineStr"/>
    </row>
    <row r="450" ht="54" customHeight="1">
      <c r="A450" s="2" t="inlineStr">
        <is>
          <t>E045</t>
        </is>
      </c>
      <c r="B450" s="2" t="inlineStr">
        <is>
          <t>E045.09</t>
        </is>
      </c>
      <c r="C450" s="2" t="inlineStr">
        <is>
          <t>Anunciar atualização dos resultados sem interromper a navegação.</t>
        </is>
      </c>
      <c r="D450" s="2" t="inlineStr">
        <is>
          <t>Frontend e UX</t>
        </is>
      </c>
      <c r="E450" s="4" t="inlineStr">
        <is>
          <t>Pendente</t>
        </is>
      </c>
      <c r="F450" s="4" t="inlineStr"/>
      <c r="G450" s="2">
        <f>IF(AND(E450="Concluída",LEN(TRIM(F450))&gt;0),1,0)</f>
        <v/>
      </c>
      <c r="H450" s="4" t="inlineStr"/>
    </row>
    <row r="451" ht="54" customHeight="1">
      <c r="A451" s="2" t="inlineStr">
        <is>
          <t>E045</t>
        </is>
      </c>
      <c r="B451" s="2" t="inlineStr">
        <is>
          <t>E045.10</t>
        </is>
      </c>
      <c r="C451" s="2" t="inlineStr">
        <is>
          <t>Validar combinações extremas, retorno do navegador e uso apenas por teclado.</t>
        </is>
      </c>
      <c r="D451" s="2" t="inlineStr">
        <is>
          <t>Frontend e UX</t>
        </is>
      </c>
      <c r="E451" s="4" t="inlineStr">
        <is>
          <t>Pendente</t>
        </is>
      </c>
      <c r="F451" s="4" t="inlineStr"/>
      <c r="G451" s="2">
        <f>IF(AND(E451="Concluída",LEN(TRIM(F451))&gt;0),1,0)</f>
        <v/>
      </c>
      <c r="H451" s="4" t="inlineStr"/>
    </row>
    <row r="452" ht="54" customHeight="1">
      <c r="A452" s="2" t="inlineStr">
        <is>
          <t>E046</t>
        </is>
      </c>
      <c r="B452" s="2" t="inlineStr">
        <is>
          <t>E046.01</t>
        </is>
      </c>
      <c r="C452" s="2" t="inlineStr">
        <is>
          <t>Organizar nome, código, variante e imagens no início da página.</t>
        </is>
      </c>
      <c r="D452" s="2" t="inlineStr">
        <is>
          <t>UX, Catálogo e Frontend</t>
        </is>
      </c>
      <c r="E452" s="4" t="inlineStr">
        <is>
          <t>Pendente</t>
        </is>
      </c>
      <c r="F452" s="4" t="inlineStr"/>
      <c r="G452" s="2">
        <f>IF(AND(E452="Concluída",LEN(TRIM(F452))&gt;0),1,0)</f>
        <v/>
      </c>
      <c r="H452" s="4" t="inlineStr"/>
    </row>
    <row r="453" ht="54" customHeight="1">
      <c r="A453" s="2" t="inlineStr">
        <is>
          <t>E046</t>
        </is>
      </c>
      <c r="B453" s="2" t="inlineStr">
        <is>
          <t>E046.02</t>
        </is>
      </c>
      <c r="C453" s="2" t="inlineStr">
        <is>
          <t>Exibir materiais, dimensões, capacidade e embalagem conforme os dados disponíveis.</t>
        </is>
      </c>
      <c r="D453" s="2" t="inlineStr">
        <is>
          <t>UX, Catálogo e Frontend</t>
        </is>
      </c>
      <c r="E453" s="4" t="inlineStr">
        <is>
          <t>Pendente</t>
        </is>
      </c>
      <c r="F453" s="4" t="inlineStr"/>
      <c r="G453" s="2">
        <f>IF(AND(E453="Concluída",LEN(TRIM(F453))&gt;0),1,0)</f>
        <v/>
      </c>
      <c r="H453" s="4" t="inlineStr"/>
    </row>
    <row r="454" ht="54" customHeight="1">
      <c r="A454" s="2" t="inlineStr">
        <is>
          <t>E046</t>
        </is>
      </c>
      <c r="B454" s="2" t="inlineStr">
        <is>
          <t>E046.03</t>
        </is>
      </c>
      <c r="C454" s="2" t="inlineStr">
        <is>
          <t>Apresentar seletores de cor e tamanho com disponibilidade correspondente.</t>
        </is>
      </c>
      <c r="D454" s="2" t="inlineStr">
        <is>
          <t>UX, Catálogo e Frontend</t>
        </is>
      </c>
      <c r="E454" s="4" t="inlineStr">
        <is>
          <t>Pendente</t>
        </is>
      </c>
      <c r="F454" s="4" t="inlineStr"/>
      <c r="G454" s="2">
        <f>IF(AND(E454="Concluída",LEN(TRIM(F454))&gt;0),1,0)</f>
        <v/>
      </c>
      <c r="H454" s="4" t="inlineStr"/>
    </row>
    <row r="455" ht="54" customHeight="1">
      <c r="A455" s="2" t="inlineStr">
        <is>
          <t>E046</t>
        </is>
      </c>
      <c r="B455" s="2" t="inlineStr">
        <is>
          <t>E046.04</t>
        </is>
      </c>
      <c r="C455" s="2" t="inlineStr">
        <is>
          <t>Mostrar mínimo, múltiplo e faixas comerciais aplicáveis.</t>
        </is>
      </c>
      <c r="D455" s="2" t="inlineStr">
        <is>
          <t>UX, Catálogo e Frontend</t>
        </is>
      </c>
      <c r="E455" s="4" t="inlineStr">
        <is>
          <t>Pendente</t>
        </is>
      </c>
      <c r="F455" s="4" t="inlineStr"/>
      <c r="G455" s="2">
        <f>IF(AND(E455="Concluída",LEN(TRIM(F455))&gt;0),1,0)</f>
        <v/>
      </c>
      <c r="H455" s="4" t="inlineStr"/>
    </row>
    <row r="456" ht="54" customHeight="1">
      <c r="A456" s="2" t="inlineStr">
        <is>
          <t>E046</t>
        </is>
      </c>
      <c r="B456" s="2" t="inlineStr">
        <is>
          <t>E046.05</t>
        </is>
      </c>
      <c r="C456" s="2" t="inlineStr">
        <is>
          <t>Explicar técnicas e áreas de personalização compatíveis.</t>
        </is>
      </c>
      <c r="D456" s="2" t="inlineStr">
        <is>
          <t>UX, Catálogo e Frontend</t>
        </is>
      </c>
      <c r="E456" s="4" t="inlineStr">
        <is>
          <t>Pendente</t>
        </is>
      </c>
      <c r="F456" s="4" t="inlineStr"/>
      <c r="G456" s="2">
        <f>IF(AND(E456="Concluída",LEN(TRIM(F456))&gt;0),1,0)</f>
        <v/>
      </c>
      <c r="H456" s="4" t="inlineStr"/>
    </row>
    <row r="457" ht="54" customHeight="1">
      <c r="A457" s="2" t="inlineStr">
        <is>
          <t>E046</t>
        </is>
      </c>
      <c r="B457" s="2" t="inlineStr">
        <is>
          <t>E046.06</t>
        </is>
      </c>
      <c r="C457" s="2" t="inlineStr">
        <is>
          <t>Identificar limitações relevantes antes de adicionar à proposta.</t>
        </is>
      </c>
      <c r="D457" s="2" t="inlineStr">
        <is>
          <t>UX, Catálogo e Frontend</t>
        </is>
      </c>
      <c r="E457" s="4" t="inlineStr">
        <is>
          <t>Pendente</t>
        </is>
      </c>
      <c r="F457" s="4" t="inlineStr"/>
      <c r="G457" s="2">
        <f>IF(AND(E457="Concluída",LEN(TRIM(F457))&gt;0),1,0)</f>
        <v/>
      </c>
      <c r="H457" s="4" t="inlineStr"/>
    </row>
    <row r="458" ht="54" customHeight="1">
      <c r="A458" s="2" t="inlineStr">
        <is>
          <t>E046</t>
        </is>
      </c>
      <c r="B458" s="2" t="inlineStr">
        <is>
          <t>E046.07</t>
        </is>
      </c>
      <c r="C458" s="2" t="inlineStr">
        <is>
          <t>Mostrar data da consulta de estoque e condição de reconfirmação.</t>
        </is>
      </c>
      <c r="D458" s="2" t="inlineStr">
        <is>
          <t>UX, Catálogo e Frontend</t>
        </is>
      </c>
      <c r="E458" s="4" t="inlineStr">
        <is>
          <t>Pendente</t>
        </is>
      </c>
      <c r="F458" s="4" t="inlineStr"/>
      <c r="G458" s="2">
        <f>IF(AND(E458="Concluída",LEN(TRIM(F458))&gt;0),1,0)</f>
        <v/>
      </c>
      <c r="H458" s="4" t="inlineStr"/>
    </row>
    <row r="459" ht="54" customHeight="1">
      <c r="A459" s="2" t="inlineStr">
        <is>
          <t>E046</t>
        </is>
      </c>
      <c r="B459" s="2" t="inlineStr">
        <is>
          <t>E046.08</t>
        </is>
      </c>
      <c r="C459" s="2" t="inlineStr">
        <is>
          <t>Oferecer ficha técnica e ajuda contextual quando disponíveis.</t>
        </is>
      </c>
      <c r="D459" s="2" t="inlineStr">
        <is>
          <t>UX, Catálogo e Frontend</t>
        </is>
      </c>
      <c r="E459" s="4" t="inlineStr">
        <is>
          <t>Pendente</t>
        </is>
      </c>
      <c r="F459" s="4" t="inlineStr"/>
      <c r="G459" s="2">
        <f>IF(AND(E459="Concluída",LEN(TRIM(F459))&gt;0),1,0)</f>
        <v/>
      </c>
      <c r="H459" s="4" t="inlineStr"/>
    </row>
    <row r="460" ht="54" customHeight="1">
      <c r="A460" s="2" t="inlineStr">
        <is>
          <t>E046</t>
        </is>
      </c>
      <c r="B460" s="2" t="inlineStr">
        <is>
          <t>E046.09</t>
        </is>
      </c>
      <c r="C460" s="2" t="inlineStr">
        <is>
          <t>Preservar seleção ao simular preço e retornar aos detalhes.</t>
        </is>
      </c>
      <c r="D460" s="2" t="inlineStr">
        <is>
          <t>UX, Catálogo e Frontend</t>
        </is>
      </c>
      <c r="E460" s="4" t="inlineStr">
        <is>
          <t>Pendente</t>
        </is>
      </c>
      <c r="F460" s="4" t="inlineStr"/>
      <c r="G460" s="2">
        <f>IF(AND(E460="Concluída",LEN(TRIM(F460))&gt;0),1,0)</f>
        <v/>
      </c>
      <c r="H460" s="4" t="inlineStr"/>
    </row>
    <row r="461" ht="54" customHeight="1">
      <c r="A461" s="2" t="inlineStr">
        <is>
          <t>E046</t>
        </is>
      </c>
      <c r="B461" s="2" t="inlineStr">
        <is>
          <t>E046.10</t>
        </is>
      </c>
      <c r="C461" s="2" t="inlineStr">
        <is>
          <t>Validar decisões com compradores usando produtos de categorias diferentes.</t>
        </is>
      </c>
      <c r="D461" s="2" t="inlineStr">
        <is>
          <t>UX, Catálogo e Frontend</t>
        </is>
      </c>
      <c r="E461" s="4" t="inlineStr">
        <is>
          <t>Pendente</t>
        </is>
      </c>
      <c r="F461" s="4" t="inlineStr"/>
      <c r="G461" s="2">
        <f>IF(AND(E461="Concluída",LEN(TRIM(F461))&gt;0),1,0)</f>
        <v/>
      </c>
      <c r="H461" s="4" t="inlineStr"/>
    </row>
    <row r="462" ht="54" customHeight="1">
      <c r="A462" s="2" t="inlineStr">
        <is>
          <t>E047</t>
        </is>
      </c>
      <c r="B462" s="2" t="inlineStr">
        <is>
          <t>E047.01</t>
        </is>
      </c>
      <c r="C462" s="2" t="inlineStr">
        <is>
          <t>Relacionar técnicas disponíveis à variante e ao material selecionados.</t>
        </is>
      </c>
      <c r="D462" s="2" t="inlineStr">
        <is>
          <t>UX, Produção e Frontend</t>
        </is>
      </c>
      <c r="E462" s="4" t="inlineStr">
        <is>
          <t>Pendente</t>
        </is>
      </c>
      <c r="F462" s="4" t="inlineStr"/>
      <c r="G462" s="2">
        <f>IF(AND(E462="Concluída",LEN(TRIM(F462))&gt;0),1,0)</f>
        <v/>
      </c>
      <c r="H462" s="4" t="inlineStr"/>
    </row>
    <row r="463" ht="54" customHeight="1">
      <c r="A463" s="2" t="inlineStr">
        <is>
          <t>E047</t>
        </is>
      </c>
      <c r="B463" s="2" t="inlineStr">
        <is>
          <t>E047.02</t>
        </is>
      </c>
      <c r="C463" s="2" t="inlineStr">
        <is>
          <t>Mostrar área útil e posição de aplicação com apoio visual.</t>
        </is>
      </c>
      <c r="D463" s="2" t="inlineStr">
        <is>
          <t>UX, Produção e Frontend</t>
        </is>
      </c>
      <c r="E463" s="4" t="inlineStr">
        <is>
          <t>Pendente</t>
        </is>
      </c>
      <c r="F463" s="4" t="inlineStr"/>
      <c r="G463" s="2">
        <f>IF(AND(E463="Concluída",LEN(TRIM(F463))&gt;0),1,0)</f>
        <v/>
      </c>
      <c r="H463" s="4" t="inlineStr"/>
    </row>
    <row r="464" ht="54" customHeight="1">
      <c r="A464" s="2" t="inlineStr">
        <is>
          <t>E047</t>
        </is>
      </c>
      <c r="B464" s="2" t="inlineStr">
        <is>
          <t>E047.03</t>
        </is>
      </c>
      <c r="C464" s="2" t="inlineStr">
        <is>
          <t>Informar limites de dimensões e número de cores por técnica.</t>
        </is>
      </c>
      <c r="D464" s="2" t="inlineStr">
        <is>
          <t>UX, Produção e Frontend</t>
        </is>
      </c>
      <c r="E464" s="4" t="inlineStr">
        <is>
          <t>Pendente</t>
        </is>
      </c>
      <c r="F464" s="4" t="inlineStr"/>
      <c r="G464" s="2">
        <f>IF(AND(E464="Concluída",LEN(TRIM(F464))&gt;0),1,0)</f>
        <v/>
      </c>
      <c r="H464" s="4" t="inlineStr"/>
    </row>
    <row r="465" ht="54" customHeight="1">
      <c r="A465" s="2" t="inlineStr">
        <is>
          <t>E047</t>
        </is>
      </c>
      <c r="B465" s="2" t="inlineStr">
        <is>
          <t>E047.04</t>
        </is>
      </c>
      <c r="C465" s="2" t="inlineStr">
        <is>
          <t>Explicar preparação, matriz e custos adicionais quando aplicáveis.</t>
        </is>
      </c>
      <c r="D465" s="2" t="inlineStr">
        <is>
          <t>UX, Produção e Frontend</t>
        </is>
      </c>
      <c r="E465" s="4" t="inlineStr">
        <is>
          <t>Pendente</t>
        </is>
      </c>
      <c r="F465" s="4" t="inlineStr"/>
      <c r="G465" s="2">
        <f>IF(AND(E465="Concluída",LEN(TRIM(F465))&gt;0),1,0)</f>
        <v/>
      </c>
      <c r="H465" s="4" t="inlineStr"/>
    </row>
    <row r="466" ht="54" customHeight="1">
      <c r="A466" s="2" t="inlineStr">
        <is>
          <t>E047</t>
        </is>
      </c>
      <c r="B466" s="2" t="inlineStr">
        <is>
          <t>E047.05</t>
        </is>
      </c>
      <c r="C466" s="2" t="inlineStr">
        <is>
          <t>Impedir combinações tecnicamente incompatíveis antes de enviar a proposta.</t>
        </is>
      </c>
      <c r="D466" s="2" t="inlineStr">
        <is>
          <t>UX, Produção e Frontend</t>
        </is>
      </c>
      <c r="E466" s="4" t="inlineStr">
        <is>
          <t>Pendente</t>
        </is>
      </c>
      <c r="F466" s="4" t="inlineStr"/>
      <c r="G466" s="2">
        <f>IF(AND(E466="Concluída",LEN(TRIM(F466))&gt;0),1,0)</f>
        <v/>
      </c>
      <c r="H466" s="4" t="inlineStr"/>
    </row>
    <row r="467" ht="54" customHeight="1">
      <c r="A467" s="2" t="inlineStr">
        <is>
          <t>E047</t>
        </is>
      </c>
      <c r="B467" s="2" t="inlineStr">
        <is>
          <t>E047.06</t>
        </is>
      </c>
      <c r="C467" s="2" t="inlineStr">
        <is>
          <t>Oferecer análise manual quando a informação do catálogo for insuficiente.</t>
        </is>
      </c>
      <c r="D467" s="2" t="inlineStr">
        <is>
          <t>UX, Produção e Frontend</t>
        </is>
      </c>
      <c r="E467" s="4" t="inlineStr">
        <is>
          <t>Pendente</t>
        </is>
      </c>
      <c r="F467" s="4" t="inlineStr"/>
      <c r="G467" s="2">
        <f>IF(AND(E467="Concluída",LEN(TRIM(F467))&gt;0),1,0)</f>
        <v/>
      </c>
      <c r="H467" s="4" t="inlineStr"/>
    </row>
    <row r="468" ht="54" customHeight="1">
      <c r="A468" s="2" t="inlineStr">
        <is>
          <t>E047</t>
        </is>
      </c>
      <c r="B468" s="2" t="inlineStr">
        <is>
          <t>E047.07</t>
        </is>
      </c>
      <c r="C468" s="2" t="inlineStr">
        <is>
          <t>Identificar a prévia como simulação e separar aprovação de produção.</t>
        </is>
      </c>
      <c r="D468" s="2" t="inlineStr">
        <is>
          <t>UX, Produção e Frontend</t>
        </is>
      </c>
      <c r="E468" s="4" t="inlineStr">
        <is>
          <t>Pendente</t>
        </is>
      </c>
      <c r="F468" s="4" t="inlineStr"/>
      <c r="G468" s="2">
        <f>IF(AND(E468="Concluída",LEN(TRIM(F468))&gt;0),1,0)</f>
        <v/>
      </c>
      <c r="H468" s="4" t="inlineStr"/>
    </row>
    <row r="469" ht="54" customHeight="1">
      <c r="A469" s="2" t="inlineStr">
        <is>
          <t>E047</t>
        </is>
      </c>
      <c r="B469" s="2" t="inlineStr">
        <is>
          <t>E047.08</t>
        </is>
      </c>
      <c r="C469" s="2" t="inlineStr">
        <is>
          <t>Registrar observações relevantes sem substituir especificações estruturadas.</t>
        </is>
      </c>
      <c r="D469" s="2" t="inlineStr">
        <is>
          <t>UX, Produção e Frontend</t>
        </is>
      </c>
      <c r="E469" s="4" t="inlineStr">
        <is>
          <t>Pendente</t>
        </is>
      </c>
      <c r="F469" s="4" t="inlineStr"/>
      <c r="G469" s="2">
        <f>IF(AND(E469="Concluída",LEN(TRIM(F469))&gt;0),1,0)</f>
        <v/>
      </c>
      <c r="H469" s="4" t="inlineStr"/>
    </row>
    <row r="470" ht="54" customHeight="1">
      <c r="A470" s="2" t="inlineStr">
        <is>
          <t>E047</t>
        </is>
      </c>
      <c r="B470" s="2" t="inlineStr">
        <is>
          <t>E047.09</t>
        </is>
      </c>
      <c r="C470" s="2" t="inlineStr">
        <is>
          <t>Preservar configuração na proposta e na versão da arte.</t>
        </is>
      </c>
      <c r="D470" s="2" t="inlineStr">
        <is>
          <t>UX, Produção e Frontend</t>
        </is>
      </c>
      <c r="E470" s="4" t="inlineStr">
        <is>
          <t>Pendente</t>
        </is>
      </c>
      <c r="F470" s="4" t="inlineStr"/>
      <c r="G470" s="2">
        <f>IF(AND(E470="Concluída",LEN(TRIM(F470))&gt;0),1,0)</f>
        <v/>
      </c>
      <c r="H470" s="4" t="inlineStr"/>
    </row>
    <row r="471" ht="54" customHeight="1">
      <c r="A471" s="2" t="inlineStr">
        <is>
          <t>E047</t>
        </is>
      </c>
      <c r="B471" s="2" t="inlineStr">
        <is>
          <t>E047.10</t>
        </is>
      </c>
      <c r="C471" s="2" t="inlineStr">
        <is>
          <t>Validar configurações de amostra com produção e documentar as restrições aplicadas.</t>
        </is>
      </c>
      <c r="D471" s="2" t="inlineStr">
        <is>
          <t>UX, Produção e Frontend</t>
        </is>
      </c>
      <c r="E471" s="4" t="inlineStr">
        <is>
          <t>Pendente</t>
        </is>
      </c>
      <c r="F471" s="4" t="inlineStr"/>
      <c r="G471" s="2">
        <f>IF(AND(E471="Concluída",LEN(TRIM(F471))&gt;0),1,0)</f>
        <v/>
      </c>
      <c r="H471" s="4" t="inlineStr"/>
    </row>
    <row r="472" ht="54" customHeight="1">
      <c r="A472" s="2" t="inlineStr">
        <is>
          <t>E048</t>
        </is>
      </c>
      <c r="B472" s="2" t="inlineStr">
        <is>
          <t>E048.01</t>
        </is>
      </c>
      <c r="C472" s="2" t="inlineStr">
        <is>
          <t>Separar preço comercial de custo de aquisição interno.</t>
        </is>
      </c>
      <c r="D472" s="2" t="inlineStr">
        <is>
          <t>Comercial, UX e Backend</t>
        </is>
      </c>
      <c r="E472" s="4" t="inlineStr">
        <is>
          <t>Pendente</t>
        </is>
      </c>
      <c r="F472" s="4" t="inlineStr"/>
      <c r="G472" s="2">
        <f>IF(AND(E472="Concluída",LEN(TRIM(F472))&gt;0),1,0)</f>
        <v/>
      </c>
      <c r="H472" s="4" t="inlineStr"/>
    </row>
    <row r="473" ht="54" customHeight="1">
      <c r="A473" s="2" t="inlineStr">
        <is>
          <t>E048</t>
        </is>
      </c>
      <c r="B473" s="2" t="inlineStr">
        <is>
          <t>E048.02</t>
        </is>
      </c>
      <c r="C473" s="2" t="inlineStr">
        <is>
          <t>Calcular faixas por quantidade com mínimo e múltiplo válidos.</t>
        </is>
      </c>
      <c r="D473" s="2" t="inlineStr">
        <is>
          <t>Comercial, UX e Backend</t>
        </is>
      </c>
      <c r="E473" s="4" t="inlineStr">
        <is>
          <t>Pendente</t>
        </is>
      </c>
      <c r="F473" s="4" t="inlineStr"/>
      <c r="G473" s="2">
        <f>IF(AND(E473="Concluída",LEN(TRIM(F473))&gt;0),1,0)</f>
        <v/>
      </c>
      <c r="H473" s="4" t="inlineStr"/>
    </row>
    <row r="474" ht="54" customHeight="1">
      <c r="A474" s="2" t="inlineStr">
        <is>
          <t>E048</t>
        </is>
      </c>
      <c r="B474" s="2" t="inlineStr">
        <is>
          <t>E048.03</t>
        </is>
      </c>
      <c r="C474" s="2" t="inlineStr">
        <is>
          <t>Discriminar personalização, preparação e embalagem aplicáveis.</t>
        </is>
      </c>
      <c r="D474" s="2" t="inlineStr">
        <is>
          <t>Comercial, UX e Backend</t>
        </is>
      </c>
      <c r="E474" s="4" t="inlineStr">
        <is>
          <t>Pendente</t>
        </is>
      </c>
      <c r="F474" s="4" t="inlineStr"/>
      <c r="G474" s="2">
        <f>IF(AND(E474="Concluída",LEN(TRIM(F474))&gt;0),1,0)</f>
        <v/>
      </c>
      <c r="H474" s="4" t="inlineStr"/>
    </row>
    <row r="475" ht="54" customHeight="1">
      <c r="A475" s="2" t="inlineStr">
        <is>
          <t>E048</t>
        </is>
      </c>
      <c r="B475" s="2" t="inlineStr">
        <is>
          <t>E048.04</t>
        </is>
      </c>
      <c r="C475" s="2" t="inlineStr">
        <is>
          <t>Integrar estimativa de frete por destino quando houver fonte confiável.</t>
        </is>
      </c>
      <c r="D475" s="2" t="inlineStr">
        <is>
          <t>Comercial, UX e Backend</t>
        </is>
      </c>
      <c r="E475" s="4" t="inlineStr">
        <is>
          <t>Pendente</t>
        </is>
      </c>
      <c r="F475" s="4" t="inlineStr"/>
      <c r="G475" s="2">
        <f>IF(AND(E475="Concluída",LEN(TRIM(F475))&gt;0),1,0)</f>
        <v/>
      </c>
      <c r="H475" s="4" t="inlineStr"/>
    </row>
    <row r="476" ht="54" customHeight="1">
      <c r="A476" s="2" t="inlineStr">
        <is>
          <t>E048</t>
        </is>
      </c>
      <c r="B476" s="2" t="inlineStr">
        <is>
          <t>E048.05</t>
        </is>
      </c>
      <c r="C476" s="2" t="inlineStr">
        <is>
          <t>Explicar tributos e condições incluídos ou ainda pendentes de cálculo.</t>
        </is>
      </c>
      <c r="D476" s="2" t="inlineStr">
        <is>
          <t>Comercial, UX e Backend</t>
        </is>
      </c>
      <c r="E476" s="4" t="inlineStr">
        <is>
          <t>Pendente</t>
        </is>
      </c>
      <c r="F476" s="4" t="inlineStr"/>
      <c r="G476" s="2">
        <f>IF(AND(E476="Concluída",LEN(TRIM(F476))&gt;0),1,0)</f>
        <v/>
      </c>
      <c r="H476" s="4" t="inlineStr"/>
    </row>
    <row r="477" ht="54" customHeight="1">
      <c r="A477" s="2" t="inlineStr">
        <is>
          <t>E048</t>
        </is>
      </c>
      <c r="B477" s="2" t="inlineStr">
        <is>
          <t>E048.06</t>
        </is>
      </c>
      <c r="C477" s="2" t="inlineStr">
        <is>
          <t>Separar tempo de análise, produção e transporte.</t>
        </is>
      </c>
      <c r="D477" s="2" t="inlineStr">
        <is>
          <t>Comercial, UX e Backend</t>
        </is>
      </c>
      <c r="E477" s="4" t="inlineStr">
        <is>
          <t>Pendente</t>
        </is>
      </c>
      <c r="F477" s="4" t="inlineStr"/>
      <c r="G477" s="2">
        <f>IF(AND(E477="Concluída",LEN(TRIM(F477))&gt;0),1,0)</f>
        <v/>
      </c>
      <c r="H477" s="4" t="inlineStr"/>
    </row>
    <row r="478" ht="54" customHeight="1">
      <c r="A478" s="2" t="inlineStr">
        <is>
          <t>E048</t>
        </is>
      </c>
      <c r="B478" s="2" t="inlineStr">
        <is>
          <t>E048.07</t>
        </is>
      </c>
      <c r="C478" s="2" t="inlineStr">
        <is>
          <t>Indicar dependência de arte aprovada e pagamento quando contratual.</t>
        </is>
      </c>
      <c r="D478" s="2" t="inlineStr">
        <is>
          <t>Comercial, UX e Backend</t>
        </is>
      </c>
      <c r="E478" s="4" t="inlineStr">
        <is>
          <t>Pendente</t>
        </is>
      </c>
      <c r="F478" s="4" t="inlineStr"/>
      <c r="G478" s="2">
        <f>IF(AND(E478="Concluída",LEN(TRIM(F478))&gt;0),1,0)</f>
        <v/>
      </c>
      <c r="H478" s="4" t="inlineStr"/>
    </row>
    <row r="479" ht="54" customHeight="1">
      <c r="A479" s="2" t="inlineStr">
        <is>
          <t>E048</t>
        </is>
      </c>
      <c r="B479" s="2" t="inlineStr">
        <is>
          <t>E048.08</t>
        </is>
      </c>
      <c r="C479" s="2" t="inlineStr">
        <is>
          <t>Recalcular valores quando variante, quantidade ou destino mudar.</t>
        </is>
      </c>
      <c r="D479" s="2" t="inlineStr">
        <is>
          <t>Comercial, UX e Backend</t>
        </is>
      </c>
      <c r="E479" s="4" t="inlineStr">
        <is>
          <t>Pendente</t>
        </is>
      </c>
      <c r="F479" s="4" t="inlineStr"/>
      <c r="G479" s="2">
        <f>IF(AND(E479="Concluída",LEN(TRIM(F479))&gt;0),1,0)</f>
        <v/>
      </c>
      <c r="H479" s="4" t="inlineStr"/>
    </row>
    <row r="480" ht="54" customHeight="1">
      <c r="A480" s="2" t="inlineStr">
        <is>
          <t>E048</t>
        </is>
      </c>
      <c r="B480" s="2" t="inlineStr">
        <is>
          <t>E048.09</t>
        </is>
      </c>
      <c r="C480" s="2" t="inlineStr">
        <is>
          <t>Bloquear confirmação quando faltar dado necessário à proposta firme.</t>
        </is>
      </c>
      <c r="D480" s="2" t="inlineStr">
        <is>
          <t>Comercial, UX e Backend</t>
        </is>
      </c>
      <c r="E480" s="4" t="inlineStr">
        <is>
          <t>Pendente</t>
        </is>
      </c>
      <c r="F480" s="4" t="inlineStr"/>
      <c r="G480" s="2">
        <f>IF(AND(E480="Concluída",LEN(TRIM(F480))&gt;0),1,0)</f>
        <v/>
      </c>
      <c r="H480" s="4" t="inlineStr"/>
    </row>
    <row r="481" ht="54" customHeight="1">
      <c r="A481" s="2" t="inlineStr">
        <is>
          <t>E048</t>
        </is>
      </c>
      <c r="B481" s="2" t="inlineStr">
        <is>
          <t>E048.10</t>
        </is>
      </c>
      <c r="C481" s="2" t="inlineStr">
        <is>
          <t>Conciliar exemplos do simulador com cálculos comerciais revisados.</t>
        </is>
      </c>
      <c r="D481" s="2" t="inlineStr">
        <is>
          <t>Comercial, UX e Backend</t>
        </is>
      </c>
      <c r="E481" s="4" t="inlineStr">
        <is>
          <t>Pendente</t>
        </is>
      </c>
      <c r="F481" s="4" t="inlineStr"/>
      <c r="G481" s="2">
        <f>IF(AND(E481="Concluída",LEN(TRIM(F481))&gt;0),1,0)</f>
        <v/>
      </c>
      <c r="H481" s="4" t="inlineStr"/>
    </row>
    <row r="482" ht="54" customHeight="1">
      <c r="A482" s="2" t="inlineStr">
        <is>
          <t>E049</t>
        </is>
      </c>
      <c r="B482" s="2" t="inlineStr">
        <is>
          <t>E049.01</t>
        </is>
      </c>
      <c r="C482" s="2" t="inlineStr">
        <is>
          <t>Permitir selecionar um conjunto manejável de alternativas do catálogo.</t>
        </is>
      </c>
      <c r="D482" s="2" t="inlineStr">
        <is>
          <t>UX, Frontend e Compras</t>
        </is>
      </c>
      <c r="E482" s="4" t="inlineStr">
        <is>
          <t>Pendente</t>
        </is>
      </c>
      <c r="F482" s="4" t="inlineStr"/>
      <c r="G482" s="2">
        <f>IF(AND(E482="Concluída",LEN(TRIM(F482))&gt;0),1,0)</f>
        <v/>
      </c>
      <c r="H482" s="4" t="inlineStr"/>
    </row>
    <row r="483" ht="54" customHeight="1">
      <c r="A483" s="2" t="inlineStr">
        <is>
          <t>E049</t>
        </is>
      </c>
      <c r="B483" s="2" t="inlineStr">
        <is>
          <t>E049.02</t>
        </is>
      </c>
      <c r="C483" s="2" t="inlineStr">
        <is>
          <t>Priorizar preço entregue, mínimo, prazo e personalização na comparação.</t>
        </is>
      </c>
      <c r="D483" s="2" t="inlineStr">
        <is>
          <t>UX, Frontend e Compras</t>
        </is>
      </c>
      <c r="E483" s="4" t="inlineStr">
        <is>
          <t>Pendente</t>
        </is>
      </c>
      <c r="F483" s="4" t="inlineStr"/>
      <c r="G483" s="2">
        <f>IF(AND(E483="Concluída",LEN(TRIM(F483))&gt;0),1,0)</f>
        <v/>
      </c>
      <c r="H483" s="4" t="inlineStr"/>
    </row>
    <row r="484" ht="54" customHeight="1">
      <c r="A484" s="2" t="inlineStr">
        <is>
          <t>E049</t>
        </is>
      </c>
      <c r="B484" s="2" t="inlineStr">
        <is>
          <t>E049.03</t>
        </is>
      </c>
      <c r="C484" s="2" t="inlineStr">
        <is>
          <t>Normalizar quantidade e unidade para evitar comparação enganosa.</t>
        </is>
      </c>
      <c r="D484" s="2" t="inlineStr">
        <is>
          <t>UX, Frontend e Compras</t>
        </is>
      </c>
      <c r="E484" s="4" t="inlineStr">
        <is>
          <t>Pendente</t>
        </is>
      </c>
      <c r="F484" s="4" t="inlineStr"/>
      <c r="G484" s="2">
        <f>IF(AND(E484="Concluída",LEN(TRIM(F484))&gt;0),1,0)</f>
        <v/>
      </c>
      <c r="H484" s="4" t="inlineStr"/>
    </row>
    <row r="485" ht="54" customHeight="1">
      <c r="A485" s="2" t="inlineStr">
        <is>
          <t>E049</t>
        </is>
      </c>
      <c r="B485" s="2" t="inlineStr">
        <is>
          <t>E049.04</t>
        </is>
      </c>
      <c r="C485" s="2" t="inlineStr">
        <is>
          <t>Evidenciar diferenças de material, embalagem e capacidade.</t>
        </is>
      </c>
      <c r="D485" s="2" t="inlineStr">
        <is>
          <t>UX, Frontend e Compras</t>
        </is>
      </c>
      <c r="E485" s="4" t="inlineStr">
        <is>
          <t>Pendente</t>
        </is>
      </c>
      <c r="F485" s="4" t="inlineStr"/>
      <c r="G485" s="2">
        <f>IF(AND(E485="Concluída",LEN(TRIM(F485))&gt;0),1,0)</f>
        <v/>
      </c>
      <c r="H485" s="4" t="inlineStr"/>
    </row>
    <row r="486" ht="54" customHeight="1">
      <c r="A486" s="2" t="inlineStr">
        <is>
          <t>E049</t>
        </is>
      </c>
      <c r="B486" s="2" t="inlineStr">
        <is>
          <t>E049.05</t>
        </is>
      </c>
      <c r="C486" s="2" t="inlineStr">
        <is>
          <t>Marcar informação não disponível sem estimar um valor fictício.</t>
        </is>
      </c>
      <c r="D486" s="2" t="inlineStr">
        <is>
          <t>UX, Frontend e Compras</t>
        </is>
      </c>
      <c r="E486" s="4" t="inlineStr">
        <is>
          <t>Pendente</t>
        </is>
      </c>
      <c r="F486" s="4" t="inlineStr"/>
      <c r="G486" s="2">
        <f>IF(AND(E486="Concluída",LEN(TRIM(F486))&gt;0),1,0)</f>
        <v/>
      </c>
      <c r="H486" s="4" t="inlineStr"/>
    </row>
    <row r="487" ht="54" customHeight="1">
      <c r="A487" s="2" t="inlineStr">
        <is>
          <t>E049</t>
        </is>
      </c>
      <c r="B487" s="2" t="inlineStr">
        <is>
          <t>E049.06</t>
        </is>
      </c>
      <c r="C487" s="2" t="inlineStr">
        <is>
          <t>Permitir retirar e substituir alternativas preservando o restante.</t>
        </is>
      </c>
      <c r="D487" s="2" t="inlineStr">
        <is>
          <t>UX, Frontend e Compras</t>
        </is>
      </c>
      <c r="E487" s="4" t="inlineStr">
        <is>
          <t>Pendente</t>
        </is>
      </c>
      <c r="F487" s="4" t="inlineStr"/>
      <c r="G487" s="2">
        <f>IF(AND(E487="Concluída",LEN(TRIM(F487))&gt;0),1,0)</f>
        <v/>
      </c>
      <c r="H487" s="4" t="inlineStr"/>
    </row>
    <row r="488" ht="54" customHeight="1">
      <c r="A488" s="2" t="inlineStr">
        <is>
          <t>E049</t>
        </is>
      </c>
      <c r="B488" s="2" t="inlineStr">
        <is>
          <t>E049.07</t>
        </is>
      </c>
      <c r="C488" s="2" t="inlineStr">
        <is>
          <t>Adaptar comparação à tela móvel sem ocultar o nome do item.</t>
        </is>
      </c>
      <c r="D488" s="2" t="inlineStr">
        <is>
          <t>UX, Frontend e Compras</t>
        </is>
      </c>
      <c r="E488" s="4" t="inlineStr">
        <is>
          <t>Pendente</t>
        </is>
      </c>
      <c r="F488" s="4" t="inlineStr"/>
      <c r="G488" s="2">
        <f>IF(AND(E488="Concluída",LEN(TRIM(F488))&gt;0),1,0)</f>
        <v/>
      </c>
      <c r="H488" s="4" t="inlineStr"/>
    </row>
    <row r="489" ht="54" customHeight="1">
      <c r="A489" s="2" t="inlineStr">
        <is>
          <t>E049</t>
        </is>
      </c>
      <c r="B489" s="2" t="inlineStr">
        <is>
          <t>E049.08</t>
        </is>
      </c>
      <c r="C489" s="2" t="inlineStr">
        <is>
          <t>Manter foco e cabeçalhos compreensíveis na leitura assistiva.</t>
        </is>
      </c>
      <c r="D489" s="2" t="inlineStr">
        <is>
          <t>UX, Frontend e Compras</t>
        </is>
      </c>
      <c r="E489" s="4" t="inlineStr">
        <is>
          <t>Pendente</t>
        </is>
      </c>
      <c r="F489" s="4" t="inlineStr"/>
      <c r="G489" s="2">
        <f>IF(AND(E489="Concluída",LEN(TRIM(F489))&gt;0),1,0)</f>
        <v/>
      </c>
      <c r="H489" s="4" t="inlineStr"/>
    </row>
    <row r="490" ht="54" customHeight="1">
      <c r="A490" s="2" t="inlineStr">
        <is>
          <t>E049</t>
        </is>
      </c>
      <c r="B490" s="2" t="inlineStr">
        <is>
          <t>E049.09</t>
        </is>
      </c>
      <c r="C490" s="2" t="inlineStr">
        <is>
          <t>Permitir levar a alternativa escolhida para a proposta com sua configuração.</t>
        </is>
      </c>
      <c r="D490" s="2" t="inlineStr">
        <is>
          <t>UX, Frontend e Compras</t>
        </is>
      </c>
      <c r="E490" s="4" t="inlineStr">
        <is>
          <t>Pendente</t>
        </is>
      </c>
      <c r="F490" s="4" t="inlineStr"/>
      <c r="G490" s="2">
        <f>IF(AND(E490="Concluída",LEN(TRIM(F490))&gt;0),1,0)</f>
        <v/>
      </c>
      <c r="H490" s="4" t="inlineStr"/>
    </row>
    <row r="491" ht="54" customHeight="1">
      <c r="A491" s="2" t="inlineStr">
        <is>
          <t>E049</t>
        </is>
      </c>
      <c r="B491" s="2" t="inlineStr">
        <is>
          <t>E049.10</t>
        </is>
      </c>
      <c r="C491" s="2" t="inlineStr">
        <is>
          <t>Validar uma decisão de compra e registrar dúvidas que ainda exigem atendimento.</t>
        </is>
      </c>
      <c r="D491" s="2" t="inlineStr">
        <is>
          <t>UX, Frontend e Compras</t>
        </is>
      </c>
      <c r="E491" s="4" t="inlineStr">
        <is>
          <t>Pendente</t>
        </is>
      </c>
      <c r="F491" s="4" t="inlineStr"/>
      <c r="G491" s="2">
        <f>IF(AND(E491="Concluída",LEN(TRIM(F491))&gt;0),1,0)</f>
        <v/>
      </c>
      <c r="H491" s="4" t="inlineStr"/>
    </row>
    <row r="492" ht="54" customHeight="1">
      <c r="A492" s="2" t="inlineStr">
        <is>
          <t>E050</t>
        </is>
      </c>
      <c r="B492" s="2" t="inlineStr">
        <is>
          <t>E050.01</t>
        </is>
      </c>
      <c r="C492" s="2" t="inlineStr">
        <is>
          <t>Permitir salvar produto com variante e contexto de interesse.</t>
        </is>
      </c>
      <c r="D492" s="2" t="inlineStr">
        <is>
          <t>UX, Frontend e Segurança</t>
        </is>
      </c>
      <c r="E492" s="4" t="inlineStr">
        <is>
          <t>Pendente</t>
        </is>
      </c>
      <c r="F492" s="4" t="inlineStr"/>
      <c r="G492" s="2">
        <f>IF(AND(E492="Concluída",LEN(TRIM(F492))&gt;0),1,0)</f>
        <v/>
      </c>
      <c r="H492" s="4" t="inlineStr"/>
    </row>
    <row r="493" ht="54" customHeight="1">
      <c r="A493" s="2" t="inlineStr">
        <is>
          <t>E050</t>
        </is>
      </c>
      <c r="B493" s="2" t="inlineStr">
        <is>
          <t>E050.02</t>
        </is>
      </c>
      <c r="C493" s="2" t="inlineStr">
        <is>
          <t>Organizar listas por campanha, evento ou necessidade recorrente.</t>
        </is>
      </c>
      <c r="D493" s="2" t="inlineStr">
        <is>
          <t>UX, Frontend e Segurança</t>
        </is>
      </c>
      <c r="E493" s="4" t="inlineStr">
        <is>
          <t>Pendente</t>
        </is>
      </c>
      <c r="F493" s="4" t="inlineStr"/>
      <c r="G493" s="2">
        <f>IF(AND(E493="Concluída",LEN(TRIM(F493))&gt;0),1,0)</f>
        <v/>
      </c>
      <c r="H493" s="4" t="inlineStr"/>
    </row>
    <row r="494" ht="54" customHeight="1">
      <c r="A494" s="2" t="inlineStr">
        <is>
          <t>E050</t>
        </is>
      </c>
      <c r="B494" s="2" t="inlineStr">
        <is>
          <t>E050.03</t>
        </is>
      </c>
      <c r="C494" s="2" t="inlineStr">
        <is>
          <t>Definir proprietário, colaboradores e permissão de edição da coleção.</t>
        </is>
      </c>
      <c r="D494" s="2" t="inlineStr">
        <is>
          <t>UX, Frontend e Segurança</t>
        </is>
      </c>
      <c r="E494" s="4" t="inlineStr">
        <is>
          <t>Pendente</t>
        </is>
      </c>
      <c r="F494" s="4" t="inlineStr"/>
      <c r="G494" s="2">
        <f>IF(AND(E494="Concluída",LEN(TRIM(F494))&gt;0),1,0)</f>
        <v/>
      </c>
      <c r="H494" s="4" t="inlineStr"/>
    </row>
    <row r="495" ht="54" customHeight="1">
      <c r="A495" s="2" t="inlineStr">
        <is>
          <t>E050</t>
        </is>
      </c>
      <c r="B495" s="2" t="inlineStr">
        <is>
          <t>E050.04</t>
        </is>
      </c>
      <c r="C495" s="2" t="inlineStr">
        <is>
          <t>Isolar listas entre cooperativas e contextos não compartilhados.</t>
        </is>
      </c>
      <c r="D495" s="2" t="inlineStr">
        <is>
          <t>UX, Frontend e Segurança</t>
        </is>
      </c>
      <c r="E495" s="4" t="inlineStr">
        <is>
          <t>Pendente</t>
        </is>
      </c>
      <c r="F495" s="4" t="inlineStr"/>
      <c r="G495" s="2">
        <f>IF(AND(E495="Concluída",LEN(TRIM(F495))&gt;0),1,0)</f>
        <v/>
      </c>
      <c r="H495" s="4" t="inlineStr"/>
    </row>
    <row r="496" ht="54" customHeight="1">
      <c r="A496" s="2" t="inlineStr">
        <is>
          <t>E050</t>
        </is>
      </c>
      <c r="B496" s="2" t="inlineStr">
        <is>
          <t>E050.05</t>
        </is>
      </c>
      <c r="C496" s="2" t="inlineStr">
        <is>
          <t>Indicar produtos descontinuados ou condições comerciais alteradas.</t>
        </is>
      </c>
      <c r="D496" s="2" t="inlineStr">
        <is>
          <t>UX, Frontend e Segurança</t>
        </is>
      </c>
      <c r="E496" s="4" t="inlineStr">
        <is>
          <t>Pendente</t>
        </is>
      </c>
      <c r="F496" s="4" t="inlineStr"/>
      <c r="G496" s="2">
        <f>IF(AND(E496="Concluída",LEN(TRIM(F496))&gt;0),1,0)</f>
        <v/>
      </c>
      <c r="H496" s="4" t="inlineStr"/>
    </row>
    <row r="497" ht="54" customHeight="1">
      <c r="A497" s="2" t="inlineStr">
        <is>
          <t>E050</t>
        </is>
      </c>
      <c r="B497" s="2" t="inlineStr">
        <is>
          <t>E050.06</t>
        </is>
      </c>
      <c r="C497" s="2" t="inlineStr">
        <is>
          <t>Definir comentários úteis à seleção sem simular aprovação formal.</t>
        </is>
      </c>
      <c r="D497" s="2" t="inlineStr">
        <is>
          <t>UX, Frontend e Segurança</t>
        </is>
      </c>
      <c r="E497" s="4" t="inlineStr">
        <is>
          <t>Pendente</t>
        </is>
      </c>
      <c r="F497" s="4" t="inlineStr"/>
      <c r="G497" s="2">
        <f>IF(AND(E497="Concluída",LEN(TRIM(F497))&gt;0),1,0)</f>
        <v/>
      </c>
      <c r="H497" s="4" t="inlineStr"/>
    </row>
    <row r="498" ht="54" customHeight="1">
      <c r="A498" s="2" t="inlineStr">
        <is>
          <t>E050</t>
        </is>
      </c>
      <c r="B498" s="2" t="inlineStr">
        <is>
          <t>E050.07</t>
        </is>
      </c>
      <c r="C498" s="2" t="inlineStr">
        <is>
          <t>Restringir links externos aos campos e pessoas autorizados.</t>
        </is>
      </c>
      <c r="D498" s="2" t="inlineStr">
        <is>
          <t>UX, Frontend e Segurança</t>
        </is>
      </c>
      <c r="E498" s="4" t="inlineStr">
        <is>
          <t>Pendente</t>
        </is>
      </c>
      <c r="F498" s="4" t="inlineStr"/>
      <c r="G498" s="2">
        <f>IF(AND(E498="Concluída",LEN(TRIM(F498))&gt;0),1,0)</f>
        <v/>
      </c>
      <c r="H498" s="4" t="inlineStr"/>
    </row>
    <row r="499" ht="54" customHeight="1">
      <c r="A499" s="2" t="inlineStr">
        <is>
          <t>E050</t>
        </is>
      </c>
      <c r="B499" s="2" t="inlineStr">
        <is>
          <t>E050.08</t>
        </is>
      </c>
      <c r="C499" s="2" t="inlineStr">
        <is>
          <t>Implementar validade e revogação dos compartilhamentos permitidos.</t>
        </is>
      </c>
      <c r="D499" s="2" t="inlineStr">
        <is>
          <t>UX, Frontend e Segurança</t>
        </is>
      </c>
      <c r="E499" s="4" t="inlineStr">
        <is>
          <t>Pendente</t>
        </is>
      </c>
      <c r="F499" s="4" t="inlineStr"/>
      <c r="G499" s="2">
        <f>IF(AND(E499="Concluída",LEN(TRIM(F499))&gt;0),1,0)</f>
        <v/>
      </c>
      <c r="H499" s="4" t="inlineStr"/>
    </row>
    <row r="500" ht="54" customHeight="1">
      <c r="A500" s="2" t="inlineStr">
        <is>
          <t>E050</t>
        </is>
      </c>
      <c r="B500" s="2" t="inlineStr">
        <is>
          <t>E050.09</t>
        </is>
      </c>
      <c r="C500" s="2" t="inlineStr">
        <is>
          <t>Oferecer desfazer remoção quando a ação for reversível.</t>
        </is>
      </c>
      <c r="D500" s="2" t="inlineStr">
        <is>
          <t>UX, Frontend e Segurança</t>
        </is>
      </c>
      <c r="E500" s="4" t="inlineStr">
        <is>
          <t>Pendente</t>
        </is>
      </c>
      <c r="F500" s="4" t="inlineStr"/>
      <c r="G500" s="2">
        <f>IF(AND(E500="Concluída",LEN(TRIM(F500))&gt;0),1,0)</f>
        <v/>
      </c>
      <c r="H500" s="4" t="inlineStr"/>
    </row>
    <row r="501" ht="54" customHeight="1">
      <c r="A501" s="2" t="inlineStr">
        <is>
          <t>E050</t>
        </is>
      </c>
      <c r="B501" s="2" t="inlineStr">
        <is>
          <t>E050.10</t>
        </is>
      </c>
      <c r="C501" s="2" t="inlineStr">
        <is>
          <t>Validar colaboração, expiração e acesso negado com dois contextos distintos.</t>
        </is>
      </c>
      <c r="D501" s="2" t="inlineStr">
        <is>
          <t>UX, Frontend e Segurança</t>
        </is>
      </c>
      <c r="E501" s="4" t="inlineStr">
        <is>
          <t>Pendente</t>
        </is>
      </c>
      <c r="F501" s="4" t="inlineStr"/>
      <c r="G501" s="2">
        <f>IF(AND(E501="Concluída",LEN(TRIM(F501))&gt;0),1,0)</f>
        <v/>
      </c>
      <c r="H501" s="4" t="inlineStr"/>
    </row>
    <row r="502" ht="54" customHeight="1">
      <c r="A502" s="2" t="inlineStr">
        <is>
          <t>E051</t>
        </is>
      </c>
      <c r="B502" s="2" t="inlineStr">
        <is>
          <t>E051.01</t>
        </is>
      </c>
      <c r="C502" s="2" t="inlineStr">
        <is>
          <t>Definir campanha, necessidade avulsa e reposição como contextos distintos.</t>
        </is>
      </c>
      <c r="D502" s="2" t="inlineStr">
        <is>
          <t>UX, Marketing e Produto</t>
        </is>
      </c>
      <c r="E502" s="4" t="inlineStr">
        <is>
          <t>Pendente</t>
        </is>
      </c>
      <c r="F502" s="4" t="inlineStr"/>
      <c r="G502" s="2">
        <f>IF(AND(E502="Concluída",LEN(TRIM(F502))&gt;0),1,0)</f>
        <v/>
      </c>
      <c r="H502" s="4" t="inlineStr"/>
    </row>
    <row r="503" ht="54" customHeight="1">
      <c r="A503" s="2" t="inlineStr">
        <is>
          <t>E051</t>
        </is>
      </c>
      <c r="B503" s="2" t="inlineStr">
        <is>
          <t>E051.02</t>
        </is>
      </c>
      <c r="C503" s="2" t="inlineStr">
        <is>
          <t>Solicitar objetivo da ação em linguagem compreensível para o PA.</t>
        </is>
      </c>
      <c r="D503" s="2" t="inlineStr">
        <is>
          <t>UX, Marketing e Produto</t>
        </is>
      </c>
      <c r="E503" s="4" t="inlineStr">
        <is>
          <t>Pendente</t>
        </is>
      </c>
      <c r="F503" s="4" t="inlineStr"/>
      <c r="G503" s="2">
        <f>IF(AND(E503="Concluída",LEN(TRIM(F503))&gt;0),1,0)</f>
        <v/>
      </c>
      <c r="H503" s="4" t="inlineStr"/>
    </row>
    <row r="504" ht="54" customHeight="1">
      <c r="A504" s="2" t="inlineStr">
        <is>
          <t>E051</t>
        </is>
      </c>
      <c r="B504" s="2" t="inlineStr">
        <is>
          <t>E051.03</t>
        </is>
      </c>
      <c r="C504" s="2" t="inlineStr">
        <is>
          <t>Registrar público, quantidade estimada e responsável pela iniciativa.</t>
        </is>
      </c>
      <c r="D504" s="2" t="inlineStr">
        <is>
          <t>UX, Marketing e Produto</t>
        </is>
      </c>
      <c r="E504" s="4" t="inlineStr">
        <is>
          <t>Pendente</t>
        </is>
      </c>
      <c r="F504" s="4" t="inlineStr"/>
      <c r="G504" s="2">
        <f>IF(AND(E504="Concluída",LEN(TRIM(F504))&gt;0),1,0)</f>
        <v/>
      </c>
      <c r="H504" s="4" t="inlineStr"/>
    </row>
    <row r="505" ht="54" customHeight="1">
      <c r="A505" s="2" t="inlineStr">
        <is>
          <t>E051</t>
        </is>
      </c>
      <c r="B505" s="2" t="inlineStr">
        <is>
          <t>E051.04</t>
        </is>
      </c>
      <c r="C505" s="2" t="inlineStr">
        <is>
          <t>Diferenciar data do evento de data desejada de recebimento.</t>
        </is>
      </c>
      <c r="D505" s="2" t="inlineStr">
        <is>
          <t>UX, Marketing e Produto</t>
        </is>
      </c>
      <c r="E505" s="4" t="inlineStr">
        <is>
          <t>Pendente</t>
        </is>
      </c>
      <c r="F505" s="4" t="inlineStr"/>
      <c r="G505" s="2">
        <f>IF(AND(E505="Concluída",LEN(TRIM(F505))&gt;0),1,0)</f>
        <v/>
      </c>
      <c r="H505" s="4" t="inlineStr"/>
    </row>
    <row r="506" ht="54" customHeight="1">
      <c r="A506" s="2" t="inlineStr">
        <is>
          <t>E051</t>
        </is>
      </c>
      <c r="B506" s="2" t="inlineStr">
        <is>
          <t>E051.05</t>
        </is>
      </c>
      <c r="C506" s="2" t="inlineStr">
        <is>
          <t>Associar cooperativa, unidades e centro de custo autorizados.</t>
        </is>
      </c>
      <c r="D506" s="2" t="inlineStr">
        <is>
          <t>UX, Marketing e Produto</t>
        </is>
      </c>
      <c r="E506" s="4" t="inlineStr">
        <is>
          <t>Pendente</t>
        </is>
      </c>
      <c r="F506" s="4" t="inlineStr"/>
      <c r="G506" s="2">
        <f>IF(AND(E506="Concluída",LEN(TRIM(F506))&gt;0),1,0)</f>
        <v/>
      </c>
      <c r="H506" s="4" t="inlineStr"/>
    </row>
    <row r="507" ht="54" customHeight="1">
      <c r="A507" s="2" t="inlineStr">
        <is>
          <t>E051</t>
        </is>
      </c>
      <c r="B507" s="2" t="inlineStr">
        <is>
          <t>E051.06</t>
        </is>
      </c>
      <c r="C507" s="2" t="inlineStr">
        <is>
          <t>Permitir anexar referências com indicação de uso e origem.</t>
        </is>
      </c>
      <c r="D507" s="2" t="inlineStr">
        <is>
          <t>UX, Marketing e Produto</t>
        </is>
      </c>
      <c r="E507" s="4" t="inlineStr">
        <is>
          <t>Pendente</t>
        </is>
      </c>
      <c r="F507" s="4" t="inlineStr"/>
      <c r="G507" s="2">
        <f>IF(AND(E507="Concluída",LEN(TRIM(F507))&gt;0),1,0)</f>
        <v/>
      </c>
      <c r="H507" s="4" t="inlineStr"/>
    </row>
    <row r="508" ht="54" customHeight="1">
      <c r="A508" s="2" t="inlineStr">
        <is>
          <t>E051</t>
        </is>
      </c>
      <c r="B508" s="2" t="inlineStr">
        <is>
          <t>E051.07</t>
        </is>
      </c>
      <c r="C508" s="2" t="inlineStr">
        <is>
          <t>Preencher dados conhecidos do contexto sem assumir escolhas comerciais.</t>
        </is>
      </c>
      <c r="D508" s="2" t="inlineStr">
        <is>
          <t>UX, Marketing e Produto</t>
        </is>
      </c>
      <c r="E508" s="4" t="inlineStr">
        <is>
          <t>Pendente</t>
        </is>
      </c>
      <c r="F508" s="4" t="inlineStr"/>
      <c r="G508" s="2">
        <f>IF(AND(E508="Concluída",LEN(TRIM(F508))&gt;0),1,0)</f>
        <v/>
      </c>
      <c r="H508" s="4" t="inlineStr"/>
    </row>
    <row r="509" ht="54" customHeight="1">
      <c r="A509" s="2" t="inlineStr">
        <is>
          <t>E051</t>
        </is>
      </c>
      <c r="B509" s="2" t="inlineStr">
        <is>
          <t>E051.08</t>
        </is>
      </c>
      <c r="C509" s="2" t="inlineStr">
        <is>
          <t>Salvar rascunho e permitir colaboração conforme as permissões.</t>
        </is>
      </c>
      <c r="D509" s="2" t="inlineStr">
        <is>
          <t>UX, Marketing e Produto</t>
        </is>
      </c>
      <c r="E509" s="4" t="inlineStr">
        <is>
          <t>Pendente</t>
        </is>
      </c>
      <c r="F509" s="4" t="inlineStr"/>
      <c r="G509" s="2">
        <f>IF(AND(E509="Concluída",LEN(TRIM(F509))&gt;0),1,0)</f>
        <v/>
      </c>
      <c r="H509" s="4" t="inlineStr"/>
    </row>
    <row r="510" ht="54" customHeight="1">
      <c r="A510" s="2" t="inlineStr">
        <is>
          <t>E051</t>
        </is>
      </c>
      <c r="B510" s="2" t="inlineStr">
        <is>
          <t>E051.09</t>
        </is>
      </c>
      <c r="C510" s="2" t="inlineStr">
        <is>
          <t>Mostrar informações pendentes antes de encaminhar para cotação.</t>
        </is>
      </c>
      <c r="D510" s="2" t="inlineStr">
        <is>
          <t>UX, Marketing e Produto</t>
        </is>
      </c>
      <c r="E510" s="4" t="inlineStr">
        <is>
          <t>Pendente</t>
        </is>
      </c>
      <c r="F510" s="4" t="inlineStr"/>
      <c r="G510" s="2">
        <f>IF(AND(E510="Concluída",LEN(TRIM(F510))&gt;0),1,0)</f>
        <v/>
      </c>
      <c r="H510" s="4" t="inlineStr"/>
    </row>
    <row r="511" ht="54" customHeight="1">
      <c r="A511" s="2" t="inlineStr">
        <is>
          <t>E051</t>
        </is>
      </c>
      <c r="B511" s="2" t="inlineStr">
        <is>
          <t>E051.10</t>
        </is>
      </c>
      <c r="C511" s="2" t="inlineStr">
        <is>
          <t>Validar briefings reais anonimizados com compras, marketing e operação.</t>
        </is>
      </c>
      <c r="D511" s="2" t="inlineStr">
        <is>
          <t>UX, Marketing e Produto</t>
        </is>
      </c>
      <c r="E511" s="4" t="inlineStr">
        <is>
          <t>Pendente</t>
        </is>
      </c>
      <c r="F511" s="4" t="inlineStr"/>
      <c r="G511" s="2">
        <f>IF(AND(E511="Concluída",LEN(TRIM(F511))&gt;0),1,0)</f>
        <v/>
      </c>
      <c r="H511" s="4" t="inlineStr"/>
    </row>
    <row r="512" ht="54" customHeight="1">
      <c r="A512" s="2" t="inlineStr">
        <is>
          <t>E052</t>
        </is>
      </c>
      <c r="B512" s="2" t="inlineStr">
        <is>
          <t>E052.01</t>
        </is>
      </c>
      <c r="C512" s="2" t="inlineStr">
        <is>
          <t>Relacionar campanhas à data do evento e aos destinos atendidos.</t>
        </is>
      </c>
      <c r="D512" s="2" t="inlineStr">
        <is>
          <t>Marketing, UX e Operação</t>
        </is>
      </c>
      <c r="E512" s="4" t="inlineStr">
        <is>
          <t>Pendente</t>
        </is>
      </c>
      <c r="F512" s="4" t="inlineStr"/>
      <c r="G512" s="2">
        <f>IF(AND(E512="Concluída",LEN(TRIM(F512))&gt;0),1,0)</f>
        <v/>
      </c>
      <c r="H512" s="4" t="inlineStr"/>
    </row>
    <row r="513" ht="54" customHeight="1">
      <c r="A513" s="2" t="inlineStr">
        <is>
          <t>E052</t>
        </is>
      </c>
      <c r="B513" s="2" t="inlineStr">
        <is>
          <t>E052.02</t>
        </is>
      </c>
      <c r="C513" s="2" t="inlineStr">
        <is>
          <t>Definir marcos de escolha, cotação, arte, autorização e produção.</t>
        </is>
      </c>
      <c r="D513" s="2" t="inlineStr">
        <is>
          <t>Marketing, UX e Operação</t>
        </is>
      </c>
      <c r="E513" s="4" t="inlineStr">
        <is>
          <t>Pendente</t>
        </is>
      </c>
      <c r="F513" s="4" t="inlineStr"/>
      <c r="G513" s="2">
        <f>IF(AND(E513="Concluída",LEN(TRIM(F513))&gt;0),1,0)</f>
        <v/>
      </c>
      <c r="H513" s="4" t="inlineStr"/>
    </row>
    <row r="514" ht="54" customHeight="1">
      <c r="A514" s="2" t="inlineStr">
        <is>
          <t>E052</t>
        </is>
      </c>
      <c r="B514" s="2" t="inlineStr">
        <is>
          <t>E052.03</t>
        </is>
      </c>
      <c r="C514" s="2" t="inlineStr">
        <is>
          <t>Estimar datas regressivas a partir de condições comerciais verificáveis.</t>
        </is>
      </c>
      <c r="D514" s="2" t="inlineStr">
        <is>
          <t>Marketing, UX e Operação</t>
        </is>
      </c>
      <c r="E514" s="4" t="inlineStr">
        <is>
          <t>Pendente</t>
        </is>
      </c>
      <c r="F514" s="4" t="inlineStr"/>
      <c r="G514" s="2">
        <f>IF(AND(E514="Concluída",LEN(TRIM(F514))&gt;0),1,0)</f>
        <v/>
      </c>
      <c r="H514" s="4" t="inlineStr"/>
    </row>
    <row r="515" ht="54" customHeight="1">
      <c r="A515" s="2" t="inlineStr">
        <is>
          <t>E052</t>
        </is>
      </c>
      <c r="B515" s="2" t="inlineStr">
        <is>
          <t>E052.04</t>
        </is>
      </c>
      <c r="C515" s="2" t="inlineStr">
        <is>
          <t>Sinalizar dependências sem prometer prazo ainda não confirmado.</t>
        </is>
      </c>
      <c r="D515" s="2" t="inlineStr">
        <is>
          <t>Marketing, UX e Operação</t>
        </is>
      </c>
      <c r="E515" s="4" t="inlineStr">
        <is>
          <t>Pendente</t>
        </is>
      </c>
      <c r="F515" s="4" t="inlineStr"/>
      <c r="G515" s="2">
        <f>IF(AND(E515="Concluída",LEN(TRIM(F515))&gt;0),1,0)</f>
        <v/>
      </c>
      <c r="H515" s="4" t="inlineStr"/>
    </row>
    <row r="516" ht="54" customHeight="1">
      <c r="A516" s="2" t="inlineStr">
        <is>
          <t>E052</t>
        </is>
      </c>
      <c r="B516" s="2" t="inlineStr">
        <is>
          <t>E052.05</t>
        </is>
      </c>
      <c r="C516" s="2" t="inlineStr">
        <is>
          <t>Exibir responsável e próxima ação de cada marco pendente.</t>
        </is>
      </c>
      <c r="D516" s="2" t="inlineStr">
        <is>
          <t>Marketing, UX e Operação</t>
        </is>
      </c>
      <c r="E516" s="4" t="inlineStr">
        <is>
          <t>Pendente</t>
        </is>
      </c>
      <c r="F516" s="4" t="inlineStr"/>
      <c r="G516" s="2">
        <f>IF(AND(E516="Concluída",LEN(TRIM(F516))&gt;0),1,0)</f>
        <v/>
      </c>
      <c r="H516" s="4" t="inlineStr"/>
    </row>
    <row r="517" ht="54" customHeight="1">
      <c r="A517" s="2" t="inlineStr">
        <is>
          <t>E052</t>
        </is>
      </c>
      <c r="B517" s="2" t="inlineStr">
        <is>
          <t>E052.06</t>
        </is>
      </c>
      <c r="C517" s="2" t="inlineStr">
        <is>
          <t>Permitir alteração justificada de data preservando o histórico.</t>
        </is>
      </c>
      <c r="D517" s="2" t="inlineStr">
        <is>
          <t>Marketing, UX e Operação</t>
        </is>
      </c>
      <c r="E517" s="4" t="inlineStr">
        <is>
          <t>Pendente</t>
        </is>
      </c>
      <c r="F517" s="4" t="inlineStr"/>
      <c r="G517" s="2">
        <f>IF(AND(E517="Concluída",LEN(TRIM(F517))&gt;0),1,0)</f>
        <v/>
      </c>
      <c r="H517" s="4" t="inlineStr"/>
    </row>
    <row r="518" ht="54" customHeight="1">
      <c r="A518" s="2" t="inlineStr">
        <is>
          <t>E052</t>
        </is>
      </c>
      <c r="B518" s="2" t="inlineStr">
        <is>
          <t>E052.07</t>
        </is>
      </c>
      <c r="C518" s="2" t="inlineStr">
        <is>
          <t>Mostrar conflito entre prazo solicitado e prazo viável de entrega.</t>
        </is>
      </c>
      <c r="D518" s="2" t="inlineStr">
        <is>
          <t>Marketing, UX e Operação</t>
        </is>
      </c>
      <c r="E518" s="4" t="inlineStr">
        <is>
          <t>Pendente</t>
        </is>
      </c>
      <c r="F518" s="4" t="inlineStr"/>
      <c r="G518" s="2">
        <f>IF(AND(E518="Concluída",LEN(TRIM(F518))&gt;0),1,0)</f>
        <v/>
      </c>
      <c r="H518" s="4" t="inlineStr"/>
    </row>
    <row r="519" ht="54" customHeight="1">
      <c r="A519" s="2" t="inlineStr">
        <is>
          <t>E052</t>
        </is>
      </c>
      <c r="B519" s="2" t="inlineStr">
        <is>
          <t>E052.08</t>
        </is>
      </c>
      <c r="C519" s="2" t="inlineStr">
        <is>
          <t>Oferecer alternativa de produto ou distribuição sujeita a nova validação.</t>
        </is>
      </c>
      <c r="D519" s="2" t="inlineStr">
        <is>
          <t>Marketing, UX e Operação</t>
        </is>
      </c>
      <c r="E519" s="4" t="inlineStr">
        <is>
          <t>Pendente</t>
        </is>
      </c>
      <c r="F519" s="4" t="inlineStr"/>
      <c r="G519" s="2">
        <f>IF(AND(E519="Concluída",LEN(TRIM(F519))&gt;0),1,0)</f>
        <v/>
      </c>
      <c r="H519" s="4" t="inlineStr"/>
    </row>
    <row r="520" ht="54" customHeight="1">
      <c r="A520" s="2" t="inlineStr">
        <is>
          <t>E052</t>
        </is>
      </c>
      <c r="B520" s="2" t="inlineStr">
        <is>
          <t>E052.09</t>
        </is>
      </c>
      <c r="C520" s="2" t="inlineStr">
        <is>
          <t>Adaptar agenda para visualização em lista acessível.</t>
        </is>
      </c>
      <c r="D520" s="2" t="inlineStr">
        <is>
          <t>Marketing, UX e Operação</t>
        </is>
      </c>
      <c r="E520" s="4" t="inlineStr">
        <is>
          <t>Pendente</t>
        </is>
      </c>
      <c r="F520" s="4" t="inlineStr"/>
      <c r="G520" s="2">
        <f>IF(AND(E520="Concluída",LEN(TRIM(F520))&gt;0),1,0)</f>
        <v/>
      </c>
      <c r="H520" s="4" t="inlineStr"/>
    </row>
    <row r="521" ht="54" customHeight="1">
      <c r="A521" s="2" t="inlineStr">
        <is>
          <t>E052</t>
        </is>
      </c>
      <c r="B521" s="2" t="inlineStr">
        <is>
          <t>E052.10</t>
        </is>
      </c>
      <c r="C521" s="2" t="inlineStr">
        <is>
          <t>Simular campanha com atraso de arte e revisar seus impactos de prazo.</t>
        </is>
      </c>
      <c r="D521" s="2" t="inlineStr">
        <is>
          <t>Marketing, UX e Operação</t>
        </is>
      </c>
      <c r="E521" s="4" t="inlineStr">
        <is>
          <t>Pendente</t>
        </is>
      </c>
      <c r="F521" s="4" t="inlineStr"/>
      <c r="G521" s="2">
        <f>IF(AND(E521="Concluída",LEN(TRIM(F521))&gt;0),1,0)</f>
        <v/>
      </c>
      <c r="H521" s="4" t="inlineStr"/>
    </row>
    <row r="522" ht="54" customHeight="1">
      <c r="A522" s="2" t="inlineStr">
        <is>
          <t>E053</t>
        </is>
      </c>
      <c r="B522" s="2" t="inlineStr">
        <is>
          <t>E053.01</t>
        </is>
      </c>
      <c r="C522" s="2" t="inlineStr">
        <is>
          <t>Definir tipos de arquivo aceitos para logos, referências e artes.</t>
        </is>
      </c>
      <c r="D522" s="2" t="inlineStr">
        <is>
          <t>Design, Marketing e Segurança</t>
        </is>
      </c>
      <c r="E522" s="4" t="inlineStr">
        <is>
          <t>Pendente</t>
        </is>
      </c>
      <c r="F522" s="4" t="inlineStr"/>
      <c r="G522" s="2">
        <f>IF(AND(E522="Concluída",LEN(TRIM(F522))&gt;0),1,0)</f>
        <v/>
      </c>
      <c r="H522" s="4" t="inlineStr"/>
    </row>
    <row r="523" ht="54" customHeight="1">
      <c r="A523" s="2" t="inlineStr">
        <is>
          <t>E053</t>
        </is>
      </c>
      <c r="B523" s="2" t="inlineStr">
        <is>
          <t>E053.02</t>
        </is>
      </c>
      <c r="C523" s="2" t="inlineStr">
        <is>
          <t>Registrar propriedade e permissão de uso dos ativos enviados.</t>
        </is>
      </c>
      <c r="D523" s="2" t="inlineStr">
        <is>
          <t>Design, Marketing e Segurança</t>
        </is>
      </c>
      <c r="E523" s="4" t="inlineStr">
        <is>
          <t>Pendente</t>
        </is>
      </c>
      <c r="F523" s="4" t="inlineStr"/>
      <c r="G523" s="2">
        <f>IF(AND(E523="Concluída",LEN(TRIM(F523))&gt;0),1,0)</f>
        <v/>
      </c>
      <c r="H523" s="4" t="inlineStr"/>
    </row>
    <row r="524" ht="54" customHeight="1">
      <c r="A524" s="2" t="inlineStr">
        <is>
          <t>E053</t>
        </is>
      </c>
      <c r="B524" s="2" t="inlineStr">
        <is>
          <t>E053.03</t>
        </is>
      </c>
      <c r="C524" s="2" t="inlineStr">
        <is>
          <t>Separar assinatura institucional de marca local e material de campanha.</t>
        </is>
      </c>
      <c r="D524" s="2" t="inlineStr">
        <is>
          <t>Design, Marketing e Segurança</t>
        </is>
      </c>
      <c r="E524" s="4" t="inlineStr">
        <is>
          <t>Pendente</t>
        </is>
      </c>
      <c r="F524" s="4" t="inlineStr"/>
      <c r="G524" s="2">
        <f>IF(AND(E524="Concluída",LEN(TRIM(F524))&gt;0),1,0)</f>
        <v/>
      </c>
      <c r="H524" s="4" t="inlineStr"/>
    </row>
    <row r="525" ht="54" customHeight="1">
      <c r="A525" s="2" t="inlineStr">
        <is>
          <t>E053</t>
        </is>
      </c>
      <c r="B525" s="2" t="inlineStr">
        <is>
          <t>E053.04</t>
        </is>
      </c>
      <c r="C525" s="2" t="inlineStr">
        <is>
          <t>Armazenar arquivos em escopo privado com vínculo organizacional.</t>
        </is>
      </c>
      <c r="D525" s="2" t="inlineStr">
        <is>
          <t>Design, Marketing e Segurança</t>
        </is>
      </c>
      <c r="E525" s="4" t="inlineStr">
        <is>
          <t>Pendente</t>
        </is>
      </c>
      <c r="F525" s="4" t="inlineStr"/>
      <c r="G525" s="2">
        <f>IF(AND(E525="Concluída",LEN(TRIM(F525))&gt;0),1,0)</f>
        <v/>
      </c>
      <c r="H525" s="4" t="inlineStr"/>
    </row>
    <row r="526" ht="54" customHeight="1">
      <c r="A526" s="2" t="inlineStr">
        <is>
          <t>E053</t>
        </is>
      </c>
      <c r="B526" s="2" t="inlineStr">
        <is>
          <t>E053.05</t>
        </is>
      </c>
      <c r="C526" s="2" t="inlineStr">
        <is>
          <t>Validar extensão, conteúdo, tamanho e riscos de processamento do arquivo.</t>
        </is>
      </c>
      <c r="D526" s="2" t="inlineStr">
        <is>
          <t>Design, Marketing e Segurança</t>
        </is>
      </c>
      <c r="E526" s="4" t="inlineStr">
        <is>
          <t>Pendente</t>
        </is>
      </c>
      <c r="F526" s="4" t="inlineStr"/>
      <c r="G526" s="2">
        <f>IF(AND(E526="Concluída",LEN(TRIM(F526))&gt;0),1,0)</f>
        <v/>
      </c>
      <c r="H526" s="4" t="inlineStr"/>
    </row>
    <row r="527" ht="54" customHeight="1">
      <c r="A527" s="2" t="inlineStr">
        <is>
          <t>E053</t>
        </is>
      </c>
      <c r="B527" s="2" t="inlineStr">
        <is>
          <t>E053.06</t>
        </is>
      </c>
      <c r="C527" s="2" t="inlineStr">
        <is>
          <t>Manter versões e identificar qual ativo está vigente para uso.</t>
        </is>
      </c>
      <c r="D527" s="2" t="inlineStr">
        <is>
          <t>Design, Marketing e Segurança</t>
        </is>
      </c>
      <c r="E527" s="4" t="inlineStr">
        <is>
          <t>Pendente</t>
        </is>
      </c>
      <c r="F527" s="4" t="inlineStr"/>
      <c r="G527" s="2">
        <f>IF(AND(E527="Concluída",LEN(TRIM(F527))&gt;0),1,0)</f>
        <v/>
      </c>
      <c r="H527" s="4" t="inlineStr"/>
    </row>
    <row r="528" ht="54" customHeight="1">
      <c r="A528" s="2" t="inlineStr">
        <is>
          <t>E053</t>
        </is>
      </c>
      <c r="B528" s="2" t="inlineStr">
        <is>
          <t>E053.07</t>
        </is>
      </c>
      <c r="C528" s="2" t="inlineStr">
        <is>
          <t>Disponibilizar prévia segura e download apenas para pessoas autorizadas.</t>
        </is>
      </c>
      <c r="D528" s="2" t="inlineStr">
        <is>
          <t>Design, Marketing e Segurança</t>
        </is>
      </c>
      <c r="E528" s="4" t="inlineStr">
        <is>
          <t>Pendente</t>
        </is>
      </c>
      <c r="F528" s="4" t="inlineStr"/>
      <c r="G528" s="2">
        <f>IF(AND(E528="Concluída",LEN(TRIM(F528))&gt;0),1,0)</f>
        <v/>
      </c>
      <c r="H528" s="4" t="inlineStr"/>
    </row>
    <row r="529" ht="54" customHeight="1">
      <c r="A529" s="2" t="inlineStr">
        <is>
          <t>E053</t>
        </is>
      </c>
      <c r="B529" s="2" t="inlineStr">
        <is>
          <t>E053.08</t>
        </is>
      </c>
      <c r="C529" s="2" t="inlineStr">
        <is>
          <t>Tratar substituição de ativo sem alterar pedidos históricos.</t>
        </is>
      </c>
      <c r="D529" s="2" t="inlineStr">
        <is>
          <t>Design, Marketing e Segurança</t>
        </is>
      </c>
      <c r="E529" s="4" t="inlineStr">
        <is>
          <t>Pendente</t>
        </is>
      </c>
      <c r="F529" s="4" t="inlineStr"/>
      <c r="G529" s="2">
        <f>IF(AND(E529="Concluída",LEN(TRIM(F529))&gt;0),1,0)</f>
        <v/>
      </c>
      <c r="H529" s="4" t="inlineStr"/>
    </row>
    <row r="530" ht="54" customHeight="1">
      <c r="A530" s="2" t="inlineStr">
        <is>
          <t>E053</t>
        </is>
      </c>
      <c r="B530" s="2" t="inlineStr">
        <is>
          <t>E053.09</t>
        </is>
      </c>
      <c r="C530" s="2" t="inlineStr">
        <is>
          <t>Definir retenção e revogação conforme finalidade e responsabilidades aprovadas.</t>
        </is>
      </c>
      <c r="D530" s="2" t="inlineStr">
        <is>
          <t>Design, Marketing e Segurança</t>
        </is>
      </c>
      <c r="E530" s="4" t="inlineStr">
        <is>
          <t>Pendente</t>
        </is>
      </c>
      <c r="F530" s="4" t="inlineStr"/>
      <c r="G530" s="2">
        <f>IF(AND(E530="Concluída",LEN(TRIM(F530))&gt;0),1,0)</f>
        <v/>
      </c>
      <c r="H530" s="4" t="inlineStr"/>
    </row>
    <row r="531" ht="54" customHeight="1">
      <c r="A531" s="2" t="inlineStr">
        <is>
          <t>E053</t>
        </is>
      </c>
      <c r="B531" s="2" t="inlineStr">
        <is>
          <t>E053.10</t>
        </is>
      </c>
      <c r="C531" s="2" t="inlineStr">
        <is>
          <t>Testar isolamento, arquivo inválido e recuperação de versão anterior.</t>
        </is>
      </c>
      <c r="D531" s="2" t="inlineStr">
        <is>
          <t>Design, Marketing e Segurança</t>
        </is>
      </c>
      <c r="E531" s="4" t="inlineStr">
        <is>
          <t>Pendente</t>
        </is>
      </c>
      <c r="F531" s="4" t="inlineStr"/>
      <c r="G531" s="2">
        <f>IF(AND(E531="Concluída",LEN(TRIM(F531))&gt;0),1,0)</f>
        <v/>
      </c>
      <c r="H531" s="4" t="inlineStr"/>
    </row>
    <row r="532" ht="54" customHeight="1">
      <c r="A532" s="2" t="inlineStr">
        <is>
          <t>E054</t>
        </is>
      </c>
      <c r="B532" s="2" t="inlineStr">
        <is>
          <t>E054.01</t>
        </is>
      </c>
      <c r="C532" s="2" t="inlineStr">
        <is>
          <t>Vincular a prova ao item e à variante da proposta.</t>
        </is>
      </c>
      <c r="D532" s="2" t="inlineStr">
        <is>
          <t>Produção, Design e Frontend</t>
        </is>
      </c>
      <c r="E532" s="4" t="inlineStr">
        <is>
          <t>Pendente</t>
        </is>
      </c>
      <c r="F532" s="4" t="inlineStr"/>
      <c r="G532" s="2">
        <f>IF(AND(E532="Concluída",LEN(TRIM(F532))&gt;0),1,0)</f>
        <v/>
      </c>
      <c r="H532" s="4" t="inlineStr"/>
    </row>
    <row r="533" ht="54" customHeight="1">
      <c r="A533" s="2" t="inlineStr">
        <is>
          <t>E054</t>
        </is>
      </c>
      <c r="B533" s="2" t="inlineStr">
        <is>
          <t>E054.02</t>
        </is>
      </c>
      <c r="C533" s="2" t="inlineStr">
        <is>
          <t>Identificar técnica, posição e dimensões efetivas de aplicação.</t>
        </is>
      </c>
      <c r="D533" s="2" t="inlineStr">
        <is>
          <t>Produção, Design e Frontend</t>
        </is>
      </c>
      <c r="E533" s="4" t="inlineStr">
        <is>
          <t>Pendente</t>
        </is>
      </c>
      <c r="F533" s="4" t="inlineStr"/>
      <c r="G533" s="2">
        <f>IF(AND(E533="Concluída",LEN(TRIM(F533))&gt;0),1,0)</f>
        <v/>
      </c>
      <c r="H533" s="4" t="inlineStr"/>
    </row>
    <row r="534" ht="54" customHeight="1">
      <c r="A534" s="2" t="inlineStr">
        <is>
          <t>E054</t>
        </is>
      </c>
      <c r="B534" s="2" t="inlineStr">
        <is>
          <t>E054.03</t>
        </is>
      </c>
      <c r="C534" s="2" t="inlineStr">
        <is>
          <t>Mostrar cores e limitações relevantes do processo de impressão.</t>
        </is>
      </c>
      <c r="D534" s="2" t="inlineStr">
        <is>
          <t>Produção, Design e Frontend</t>
        </is>
      </c>
      <c r="E534" s="4" t="inlineStr">
        <is>
          <t>Pendente</t>
        </is>
      </c>
      <c r="F534" s="4" t="inlineStr"/>
      <c r="G534" s="2">
        <f>IF(AND(E534="Concluída",LEN(TRIM(F534))&gt;0),1,0)</f>
        <v/>
      </c>
      <c r="H534" s="4" t="inlineStr"/>
    </row>
    <row r="535" ht="54" customHeight="1">
      <c r="A535" s="2" t="inlineStr">
        <is>
          <t>E054</t>
        </is>
      </c>
      <c r="B535" s="2" t="inlineStr">
        <is>
          <t>E054.04</t>
        </is>
      </c>
      <c r="C535" s="2" t="inlineStr">
        <is>
          <t>Anexar o arquivo de arte e sua versão imutável.</t>
        </is>
      </c>
      <c r="D535" s="2" t="inlineStr">
        <is>
          <t>Produção, Design e Frontend</t>
        </is>
      </c>
      <c r="E535" s="4" t="inlineStr">
        <is>
          <t>Pendente</t>
        </is>
      </c>
      <c r="F535" s="4" t="inlineStr"/>
      <c r="G535" s="2">
        <f>IF(AND(E535="Concluída",LEN(TRIM(F535))&gt;0),1,0)</f>
        <v/>
      </c>
      <c r="H535" s="4" t="inlineStr"/>
    </row>
    <row r="536" ht="54" customHeight="1">
      <c r="A536" s="2" t="inlineStr">
        <is>
          <t>E054</t>
        </is>
      </c>
      <c r="B536" s="2" t="inlineStr">
        <is>
          <t>E054.05</t>
        </is>
      </c>
      <c r="C536" s="2" t="inlineStr">
        <is>
          <t>Distinguir representação ilustrativa de prova técnica validada pela produção.</t>
        </is>
      </c>
      <c r="D536" s="2" t="inlineStr">
        <is>
          <t>Produção, Design e Frontend</t>
        </is>
      </c>
      <c r="E536" s="4" t="inlineStr">
        <is>
          <t>Pendente</t>
        </is>
      </c>
      <c r="F536" s="4" t="inlineStr"/>
      <c r="G536" s="2">
        <f>IF(AND(E536="Concluída",LEN(TRIM(F536))&gt;0),1,0)</f>
        <v/>
      </c>
      <c r="H536" s="4" t="inlineStr"/>
    </row>
    <row r="537" ht="54" customHeight="1">
      <c r="A537" s="2" t="inlineStr">
        <is>
          <t>E054</t>
        </is>
      </c>
      <c r="B537" s="2" t="inlineStr">
        <is>
          <t>E054.06</t>
        </is>
      </c>
      <c r="C537" s="2" t="inlineStr">
        <is>
          <t>Registrar embalagem e composição quando afetarem a personalização.</t>
        </is>
      </c>
      <c r="D537" s="2" t="inlineStr">
        <is>
          <t>Produção, Design e Frontend</t>
        </is>
      </c>
      <c r="E537" s="4" t="inlineStr">
        <is>
          <t>Pendente</t>
        </is>
      </c>
      <c r="F537" s="4" t="inlineStr"/>
      <c r="G537" s="2">
        <f>IF(AND(E537="Concluída",LEN(TRIM(F537))&gt;0),1,0)</f>
        <v/>
      </c>
      <c r="H537" s="4" t="inlineStr"/>
    </row>
    <row r="538" ht="54" customHeight="1">
      <c r="A538" s="2" t="inlineStr">
        <is>
          <t>E054</t>
        </is>
      </c>
      <c r="B538" s="2" t="inlineStr">
        <is>
          <t>E054.07</t>
        </is>
      </c>
      <c r="C538" s="2" t="inlineStr">
        <is>
          <t>Permitir comentários ancorados no item ou na área correspondente.</t>
        </is>
      </c>
      <c r="D538" s="2" t="inlineStr">
        <is>
          <t>Produção, Design e Frontend</t>
        </is>
      </c>
      <c r="E538" s="4" t="inlineStr">
        <is>
          <t>Pendente</t>
        </is>
      </c>
      <c r="F538" s="4" t="inlineStr"/>
      <c r="G538" s="2">
        <f>IF(AND(E538="Concluída",LEN(TRIM(F538))&gt;0),1,0)</f>
        <v/>
      </c>
      <c r="H538" s="4" t="inlineStr"/>
    </row>
    <row r="539" ht="54" customHeight="1">
      <c r="A539" s="2" t="inlineStr">
        <is>
          <t>E054</t>
        </is>
      </c>
      <c r="B539" s="2" t="inlineStr">
        <is>
          <t>E054.08</t>
        </is>
      </c>
      <c r="C539" s="2" t="inlineStr">
        <is>
          <t>Comparar revisões destacando o que mudou entre versões.</t>
        </is>
      </c>
      <c r="D539" s="2" t="inlineStr">
        <is>
          <t>Produção, Design e Frontend</t>
        </is>
      </c>
      <c r="E539" s="4" t="inlineStr">
        <is>
          <t>Pendente</t>
        </is>
      </c>
      <c r="F539" s="4" t="inlineStr"/>
      <c r="G539" s="2">
        <f>IF(AND(E539="Concluída",LEN(TRIM(F539))&gt;0),1,0)</f>
        <v/>
      </c>
      <c r="H539" s="4" t="inlineStr"/>
    </row>
    <row r="540" ht="54" customHeight="1">
      <c r="A540" s="2" t="inlineStr">
        <is>
          <t>E054</t>
        </is>
      </c>
      <c r="B540" s="2" t="inlineStr">
        <is>
          <t>E054.09</t>
        </is>
      </c>
      <c r="C540" s="2" t="inlineStr">
        <is>
          <t>Emitir documento legível para revisão em desktop e dispositivo móvel.</t>
        </is>
      </c>
      <c r="D540" s="2" t="inlineStr">
        <is>
          <t>Produção, Design e Frontend</t>
        </is>
      </c>
      <c r="E540" s="4" t="inlineStr">
        <is>
          <t>Pendente</t>
        </is>
      </c>
      <c r="F540" s="4" t="inlineStr"/>
      <c r="G540" s="2">
        <f>IF(AND(E540="Concluída",LEN(TRIM(F540))&gt;0),1,0)</f>
        <v/>
      </c>
      <c r="H540" s="4" t="inlineStr"/>
    </row>
    <row r="541" ht="54" customHeight="1">
      <c r="A541" s="2" t="inlineStr">
        <is>
          <t>E054</t>
        </is>
      </c>
      <c r="B541" s="2" t="inlineStr">
        <is>
          <t>E054.10</t>
        </is>
      </c>
      <c r="C541" s="2" t="inlineStr">
        <is>
          <t>Validar prova de amostra com produção antes de habilitar aprovação formal.</t>
        </is>
      </c>
      <c r="D541" s="2" t="inlineStr">
        <is>
          <t>Produção, Design e Frontend</t>
        </is>
      </c>
      <c r="E541" s="4" t="inlineStr">
        <is>
          <t>Pendente</t>
        </is>
      </c>
      <c r="F541" s="4" t="inlineStr"/>
      <c r="G541" s="2">
        <f>IF(AND(E541="Concluída",LEN(TRIM(F541))&gt;0),1,0)</f>
        <v/>
      </c>
      <c r="H541" s="4" t="inlineStr"/>
    </row>
    <row r="542" ht="54" customHeight="1">
      <c r="A542" s="2" t="inlineStr">
        <is>
          <t>E055</t>
        </is>
      </c>
      <c r="B542" s="2" t="inlineStr">
        <is>
          <t>E055.01</t>
        </is>
      </c>
      <c r="C542" s="2" t="inlineStr">
        <is>
          <t>Permitir adicionar produtos e variantes à composição do kit.</t>
        </is>
      </c>
      <c r="D542" s="2" t="inlineStr">
        <is>
          <t>UX, Comercial e Frontend</t>
        </is>
      </c>
      <c r="E542" s="4" t="inlineStr">
        <is>
          <t>Pendente</t>
        </is>
      </c>
      <c r="F542" s="4" t="inlineStr"/>
      <c r="G542" s="2">
        <f>IF(AND(E542="Concluída",LEN(TRIM(F542))&gt;0),1,0)</f>
        <v/>
      </c>
      <c r="H542" s="4" t="inlineStr"/>
    </row>
    <row r="543" ht="54" customHeight="1">
      <c r="A543" s="2" t="inlineStr">
        <is>
          <t>E055</t>
        </is>
      </c>
      <c r="B543" s="2" t="inlineStr">
        <is>
          <t>E055.02</t>
        </is>
      </c>
      <c r="C543" s="2" t="inlineStr">
        <is>
          <t>Definir quantidade de cada componente por unidade de kit.</t>
        </is>
      </c>
      <c r="D543" s="2" t="inlineStr">
        <is>
          <t>UX, Comercial e Frontend</t>
        </is>
      </c>
      <c r="E543" s="4" t="inlineStr">
        <is>
          <t>Pendente</t>
        </is>
      </c>
      <c r="F543" s="4" t="inlineStr"/>
      <c r="G543" s="2">
        <f>IF(AND(E543="Concluída",LEN(TRIM(F543))&gt;0),1,0)</f>
        <v/>
      </c>
      <c r="H543" s="4" t="inlineStr"/>
    </row>
    <row r="544" ht="54" customHeight="1">
      <c r="A544" s="2" t="inlineStr">
        <is>
          <t>E055</t>
        </is>
      </c>
      <c r="B544" s="2" t="inlineStr">
        <is>
          <t>E055.03</t>
        </is>
      </c>
      <c r="C544" s="2" t="inlineStr">
        <is>
          <t>Calcular demanda total a partir da quantidade de kits solicitada.</t>
        </is>
      </c>
      <c r="D544" s="2" t="inlineStr">
        <is>
          <t>UX, Comercial e Frontend</t>
        </is>
      </c>
      <c r="E544" s="4" t="inlineStr">
        <is>
          <t>Pendente</t>
        </is>
      </c>
      <c r="F544" s="4" t="inlineStr"/>
      <c r="G544" s="2">
        <f>IF(AND(E544="Concluída",LEN(TRIM(F544))&gt;0),1,0)</f>
        <v/>
      </c>
      <c r="H544" s="4" t="inlineStr"/>
    </row>
    <row r="545" ht="54" customHeight="1">
      <c r="A545" s="2" t="inlineStr">
        <is>
          <t>E055</t>
        </is>
      </c>
      <c r="B545" s="2" t="inlineStr">
        <is>
          <t>E055.04</t>
        </is>
      </c>
      <c r="C545" s="2" t="inlineStr">
        <is>
          <t>Validar mínimos e múltiplos de cada componente individualmente.</t>
        </is>
      </c>
      <c r="D545" s="2" t="inlineStr">
        <is>
          <t>UX, Comercial e Frontend</t>
        </is>
      </c>
      <c r="E545" s="4" t="inlineStr">
        <is>
          <t>Pendente</t>
        </is>
      </c>
      <c r="F545" s="4" t="inlineStr"/>
      <c r="G545" s="2">
        <f>IF(AND(E545="Concluída",LEN(TRIM(F545))&gt;0),1,0)</f>
        <v/>
      </c>
      <c r="H545" s="4" t="inlineStr"/>
    </row>
    <row r="546" ht="54" customHeight="1">
      <c r="A546" s="2" t="inlineStr">
        <is>
          <t>E055</t>
        </is>
      </c>
      <c r="B546" s="2" t="inlineStr">
        <is>
          <t>E055.05</t>
        </is>
      </c>
      <c r="C546" s="2" t="inlineStr">
        <is>
          <t>Exibir personalização e custos adicionais associados aos componentes.</t>
        </is>
      </c>
      <c r="D546" s="2" t="inlineStr">
        <is>
          <t>UX, Comercial e Frontend</t>
        </is>
      </c>
      <c r="E546" s="4" t="inlineStr">
        <is>
          <t>Pendente</t>
        </is>
      </c>
      <c r="F546" s="4" t="inlineStr"/>
      <c r="G546" s="2">
        <f>IF(AND(E546="Concluída",LEN(TRIM(F546))&gt;0),1,0)</f>
        <v/>
      </c>
      <c r="H546" s="4" t="inlineStr"/>
    </row>
    <row r="547" ht="54" customHeight="1">
      <c r="A547" s="2" t="inlineStr">
        <is>
          <t>E055</t>
        </is>
      </c>
      <c r="B547" s="2" t="inlineStr">
        <is>
          <t>E055.06</t>
        </is>
      </c>
      <c r="C547" s="2" t="inlineStr">
        <is>
          <t>Incluir embalagem e montagem quando fizerem parte do fornecimento.</t>
        </is>
      </c>
      <c r="D547" s="2" t="inlineStr">
        <is>
          <t>UX, Comercial e Frontend</t>
        </is>
      </c>
      <c r="E547" s="4" t="inlineStr">
        <is>
          <t>Pendente</t>
        </is>
      </c>
      <c r="F547" s="4" t="inlineStr"/>
      <c r="G547" s="2">
        <f>IF(AND(E547="Concluída",LEN(TRIM(F547))&gt;0),1,0)</f>
        <v/>
      </c>
      <c r="H547" s="4" t="inlineStr"/>
    </row>
    <row r="548" ht="54" customHeight="1">
      <c r="A548" s="2" t="inlineStr">
        <is>
          <t>E055</t>
        </is>
      </c>
      <c r="B548" s="2" t="inlineStr">
        <is>
          <t>E055.07</t>
        </is>
      </c>
      <c r="C548" s="2" t="inlineStr">
        <is>
          <t>Sinalizar componente indisponível e permitir substituição revisada.</t>
        </is>
      </c>
      <c r="D548" s="2" t="inlineStr">
        <is>
          <t>UX, Comercial e Frontend</t>
        </is>
      </c>
      <c r="E548" s="4" t="inlineStr">
        <is>
          <t>Pendente</t>
        </is>
      </c>
      <c r="F548" s="4" t="inlineStr"/>
      <c r="G548" s="2">
        <f>IF(AND(E548="Concluída",LEN(TRIM(F548))&gt;0),1,0)</f>
        <v/>
      </c>
      <c r="H548" s="4" t="inlineStr"/>
    </row>
    <row r="549" ht="54" customHeight="1">
      <c r="A549" s="2" t="inlineStr">
        <is>
          <t>E055</t>
        </is>
      </c>
      <c r="B549" s="2" t="inlineStr">
        <is>
          <t>E055.08</t>
        </is>
      </c>
      <c r="C549" s="2" t="inlineStr">
        <is>
          <t>Oferecer ordenação por botões além de arrastar e soltar.</t>
        </is>
      </c>
      <c r="D549" s="2" t="inlineStr">
        <is>
          <t>UX, Comercial e Frontend</t>
        </is>
      </c>
      <c r="E549" s="4" t="inlineStr">
        <is>
          <t>Pendente</t>
        </is>
      </c>
      <c r="F549" s="4" t="inlineStr"/>
      <c r="G549" s="2">
        <f>IF(AND(E549="Concluída",LEN(TRIM(F549))&gt;0),1,0)</f>
        <v/>
      </c>
      <c r="H549" s="4" t="inlineStr"/>
    </row>
    <row r="550" ht="54" customHeight="1">
      <c r="A550" s="2" t="inlineStr">
        <is>
          <t>E055</t>
        </is>
      </c>
      <c r="B550" s="2" t="inlineStr">
        <is>
          <t>E055.09</t>
        </is>
      </c>
      <c r="C550" s="2" t="inlineStr">
        <is>
          <t>Preservar composição e imagens como versão da proposta.</t>
        </is>
      </c>
      <c r="D550" s="2" t="inlineStr">
        <is>
          <t>UX, Comercial e Frontend</t>
        </is>
      </c>
      <c r="E550" s="4" t="inlineStr">
        <is>
          <t>Pendente</t>
        </is>
      </c>
      <c r="F550" s="4" t="inlineStr"/>
      <c r="G550" s="2">
        <f>IF(AND(E550="Concluída",LEN(TRIM(F550))&gt;0),1,0)</f>
        <v/>
      </c>
      <c r="H550" s="4" t="inlineStr"/>
    </row>
    <row r="551" ht="54" customHeight="1">
      <c r="A551" s="2" t="inlineStr">
        <is>
          <t>E055</t>
        </is>
      </c>
      <c r="B551" s="2" t="inlineStr">
        <is>
          <t>E055.10</t>
        </is>
      </c>
      <c r="C551" s="2" t="inlineStr">
        <is>
          <t>Conferir kit de exemplo com comercial e produção antes de liberar uso.</t>
        </is>
      </c>
      <c r="D551" s="2" t="inlineStr">
        <is>
          <t>UX, Comercial e Frontend</t>
        </is>
      </c>
      <c r="E551" s="4" t="inlineStr">
        <is>
          <t>Pendente</t>
        </is>
      </c>
      <c r="F551" s="4" t="inlineStr"/>
      <c r="G551" s="2">
        <f>IF(AND(E551="Concluída",LEN(TRIM(F551))&gt;0),1,0)</f>
        <v/>
      </c>
      <c r="H551" s="4" t="inlineStr"/>
    </row>
    <row r="552" ht="54" customHeight="1">
      <c r="A552" s="2" t="inlineStr">
        <is>
          <t>E056</t>
        </is>
      </c>
      <c r="B552" s="2" t="inlineStr">
        <is>
          <t>E056.01</t>
        </is>
      </c>
      <c r="C552" s="2" t="inlineStr">
        <is>
          <t>Listar unidades e endereços autorizados no contexto da cooperativa.</t>
        </is>
      </c>
      <c r="D552" s="2" t="inlineStr">
        <is>
          <t>UX, Compras e Operação</t>
        </is>
      </c>
      <c r="E552" s="4" t="inlineStr">
        <is>
          <t>Pendente</t>
        </is>
      </c>
      <c r="F552" s="4" t="inlineStr"/>
      <c r="G552" s="2">
        <f>IF(AND(E552="Concluída",LEN(TRIM(F552))&gt;0),1,0)</f>
        <v/>
      </c>
      <c r="H552" s="4" t="inlineStr"/>
    </row>
    <row r="553" ht="54" customHeight="1">
      <c r="A553" s="2" t="inlineStr">
        <is>
          <t>E056</t>
        </is>
      </c>
      <c r="B553" s="2" t="inlineStr">
        <is>
          <t>E056.02</t>
        </is>
      </c>
      <c r="C553" s="2" t="inlineStr">
        <is>
          <t>Permitir distribuir produtos ou kits por destino.</t>
        </is>
      </c>
      <c r="D553" s="2" t="inlineStr">
        <is>
          <t>UX, Compras e Operação</t>
        </is>
      </c>
      <c r="E553" s="4" t="inlineStr">
        <is>
          <t>Pendente</t>
        </is>
      </c>
      <c r="F553" s="4" t="inlineStr"/>
      <c r="G553" s="2">
        <f>IF(AND(E553="Concluída",LEN(TRIM(F553))&gt;0),1,0)</f>
        <v/>
      </c>
      <c r="H553" s="4" t="inlineStr"/>
    </row>
    <row r="554" ht="54" customHeight="1">
      <c r="A554" s="2" t="inlineStr">
        <is>
          <t>E056</t>
        </is>
      </c>
      <c r="B554" s="2" t="inlineStr">
        <is>
          <t>E056.03</t>
        </is>
      </c>
      <c r="C554" s="2" t="inlineStr">
        <is>
          <t>Validar soma das quantidades e evidenciar saldo ainda não distribuído.</t>
        </is>
      </c>
      <c r="D554" s="2" t="inlineStr">
        <is>
          <t>UX, Compras e Operação</t>
        </is>
      </c>
      <c r="E554" s="4" t="inlineStr">
        <is>
          <t>Pendente</t>
        </is>
      </c>
      <c r="F554" s="4" t="inlineStr"/>
      <c r="G554" s="2">
        <f>IF(AND(E554="Concluída",LEN(TRIM(F554))&gt;0),1,0)</f>
        <v/>
      </c>
      <c r="H554" s="4" t="inlineStr"/>
    </row>
    <row r="555" ht="54" customHeight="1">
      <c r="A555" s="2" t="inlineStr">
        <is>
          <t>E056</t>
        </is>
      </c>
      <c r="B555" s="2" t="inlineStr">
        <is>
          <t>E056.04</t>
        </is>
      </c>
      <c r="C555" s="2" t="inlineStr">
        <is>
          <t>Registrar contato operacional mínimo necessário ao recebimento.</t>
        </is>
      </c>
      <c r="D555" s="2" t="inlineStr">
        <is>
          <t>UX, Compras e Operação</t>
        </is>
      </c>
      <c r="E555" s="4" t="inlineStr">
        <is>
          <t>Pendente</t>
        </is>
      </c>
      <c r="F555" s="4" t="inlineStr"/>
      <c r="G555" s="2">
        <f>IF(AND(E555="Concluída",LEN(TRIM(F555))&gt;0),1,0)</f>
        <v/>
      </c>
      <c r="H555" s="4" t="inlineStr"/>
    </row>
    <row r="556" ht="54" customHeight="1">
      <c r="A556" s="2" t="inlineStr">
        <is>
          <t>E056</t>
        </is>
      </c>
      <c r="B556" s="2" t="inlineStr">
        <is>
          <t>E056.05</t>
        </is>
      </c>
      <c r="C556" s="2" t="inlineStr">
        <is>
          <t>Definir data necessária e restrições de recebimento por unidade.</t>
        </is>
      </c>
      <c r="D556" s="2" t="inlineStr">
        <is>
          <t>UX, Compras e Operação</t>
        </is>
      </c>
      <c r="E556" s="4" t="inlineStr">
        <is>
          <t>Pendente</t>
        </is>
      </c>
      <c r="F556" s="4" t="inlineStr"/>
      <c r="G556" s="2">
        <f>IF(AND(E556="Concluída",LEN(TRIM(F556))&gt;0),1,0)</f>
        <v/>
      </c>
      <c r="H556" s="4" t="inlineStr"/>
    </row>
    <row r="557" ht="54" customHeight="1">
      <c r="A557" s="2" t="inlineStr">
        <is>
          <t>E056</t>
        </is>
      </c>
      <c r="B557" s="2" t="inlineStr">
        <is>
          <t>E056.06</t>
        </is>
      </c>
      <c r="C557" s="2" t="inlineStr">
        <is>
          <t>Calcular ou solicitar frete correspondente a cada distribuição.</t>
        </is>
      </c>
      <c r="D557" s="2" t="inlineStr">
        <is>
          <t>UX, Compras e Operação</t>
        </is>
      </c>
      <c r="E557" s="4" t="inlineStr">
        <is>
          <t>Pendente</t>
        </is>
      </c>
      <c r="F557" s="4" t="inlineStr"/>
      <c r="G557" s="2">
        <f>IF(AND(E557="Concluída",LEN(TRIM(F557))&gt;0),1,0)</f>
        <v/>
      </c>
      <c r="H557" s="4" t="inlineStr"/>
    </row>
    <row r="558" ht="54" customHeight="1">
      <c r="A558" s="2" t="inlineStr">
        <is>
          <t>E056</t>
        </is>
      </c>
      <c r="B558" s="2" t="inlineStr">
        <is>
          <t>E056.07</t>
        </is>
      </c>
      <c r="C558" s="2" t="inlineStr">
        <is>
          <t>Permitir importação assistida de distribuição com prévia e validação.</t>
        </is>
      </c>
      <c r="D558" s="2" t="inlineStr">
        <is>
          <t>UX, Compras e Operação</t>
        </is>
      </c>
      <c r="E558" s="4" t="inlineStr">
        <is>
          <t>Pendente</t>
        </is>
      </c>
      <c r="F558" s="4" t="inlineStr"/>
      <c r="G558" s="2">
        <f>IF(AND(E558="Concluída",LEN(TRIM(F558))&gt;0),1,0)</f>
        <v/>
      </c>
      <c r="H558" s="4" t="inlineStr"/>
    </row>
    <row r="559" ht="54" customHeight="1">
      <c r="A559" s="2" t="inlineStr">
        <is>
          <t>E056</t>
        </is>
      </c>
      <c r="B559" s="2" t="inlineStr">
        <is>
          <t>E056.08</t>
        </is>
      </c>
      <c r="C559" s="2" t="inlineStr">
        <is>
          <t>Tratar unidade inativa, endereço incompleto e duplicidade de destino.</t>
        </is>
      </c>
      <c r="D559" s="2" t="inlineStr">
        <is>
          <t>UX, Compras e Operação</t>
        </is>
      </c>
      <c r="E559" s="4" t="inlineStr">
        <is>
          <t>Pendente</t>
        </is>
      </c>
      <c r="F559" s="4" t="inlineStr"/>
      <c r="G559" s="2">
        <f>IF(AND(E559="Concluída",LEN(TRIM(F559))&gt;0),1,0)</f>
        <v/>
      </c>
      <c r="H559" s="4" t="inlineStr"/>
    </row>
    <row r="560" ht="54" customHeight="1">
      <c r="A560" s="2" t="inlineStr">
        <is>
          <t>E056</t>
        </is>
      </c>
      <c r="B560" s="2" t="inlineStr">
        <is>
          <t>E056.09</t>
        </is>
      </c>
      <c r="C560" s="2" t="inlineStr">
        <is>
          <t>Mostrar impacto da redistribuição sobre custo e prazo.</t>
        </is>
      </c>
      <c r="D560" s="2" t="inlineStr">
        <is>
          <t>UX, Compras e Operação</t>
        </is>
      </c>
      <c r="E560" s="4" t="inlineStr">
        <is>
          <t>Pendente</t>
        </is>
      </c>
      <c r="F560" s="4" t="inlineStr"/>
      <c r="G560" s="2">
        <f>IF(AND(E560="Concluída",LEN(TRIM(F560))&gt;0),1,0)</f>
        <v/>
      </c>
      <c r="H560" s="4" t="inlineStr"/>
    </row>
    <row r="561" ht="54" customHeight="1">
      <c r="A561" s="2" t="inlineStr">
        <is>
          <t>E056</t>
        </is>
      </c>
      <c r="B561" s="2" t="inlineStr">
        <is>
          <t>E056.10</t>
        </is>
      </c>
      <c r="C561" s="2" t="inlineStr">
        <is>
          <t>Validar uma campanha com pelo menos três destinos e quantidades diferentes.</t>
        </is>
      </c>
      <c r="D561" s="2" t="inlineStr">
        <is>
          <t>UX, Compras e Operação</t>
        </is>
      </c>
      <c r="E561" s="4" t="inlineStr">
        <is>
          <t>Pendente</t>
        </is>
      </c>
      <c r="F561" s="4" t="inlineStr"/>
      <c r="G561" s="2">
        <f>IF(AND(E561="Concluída",LEN(TRIM(F561))&gt;0),1,0)</f>
        <v/>
      </c>
      <c r="H561" s="4" t="inlineStr"/>
    </row>
    <row r="562" ht="54" customHeight="1">
      <c r="A562" s="2" t="inlineStr">
        <is>
          <t>E057</t>
        </is>
      </c>
      <c r="B562" s="2" t="inlineStr">
        <is>
          <t>E057.01</t>
        </is>
      </c>
      <c r="C562" s="2" t="inlineStr">
        <is>
          <t>Identificar claramente se a seleção cria solicitação ou pedido contratado.</t>
        </is>
      </c>
      <c r="D562" s="2" t="inlineStr">
        <is>
          <t>UX e Frontend</t>
        </is>
      </c>
      <c r="E562" s="4" t="inlineStr">
        <is>
          <t>Pendente</t>
        </is>
      </c>
      <c r="F562" s="4" t="inlineStr"/>
      <c r="G562" s="2">
        <f>IF(AND(E562="Concluída",LEN(TRIM(F562))&gt;0),1,0)</f>
        <v/>
      </c>
      <c r="H562" s="4" t="inlineStr"/>
    </row>
    <row r="563" ht="54" customHeight="1">
      <c r="A563" s="2" t="inlineStr">
        <is>
          <t>E057</t>
        </is>
      </c>
      <c r="B563" s="2" t="inlineStr">
        <is>
          <t>E057.02</t>
        </is>
      </c>
      <c r="C563" s="2" t="inlineStr">
        <is>
          <t>Guardar variante, personalização e quantidade de cada item.</t>
        </is>
      </c>
      <c r="D563" s="2" t="inlineStr">
        <is>
          <t>UX e Frontend</t>
        </is>
      </c>
      <c r="E563" s="4" t="inlineStr">
        <is>
          <t>Pendente</t>
        </is>
      </c>
      <c r="F563" s="4" t="inlineStr"/>
      <c r="G563" s="2">
        <f>IF(AND(E563="Concluída",LEN(TRIM(F563))&gt;0),1,0)</f>
        <v/>
      </c>
      <c r="H563" s="4" t="inlineStr"/>
    </row>
    <row r="564" ht="54" customHeight="1">
      <c r="A564" s="2" t="inlineStr">
        <is>
          <t>E057</t>
        </is>
      </c>
      <c r="B564" s="2" t="inlineStr">
        <is>
          <t>E057.03</t>
        </is>
      </c>
      <c r="C564" s="2" t="inlineStr">
        <is>
          <t>Separar carrinhos e rascunhos por cooperativa e responsável.</t>
        </is>
      </c>
      <c r="D564" s="2" t="inlineStr">
        <is>
          <t>UX e Frontend</t>
        </is>
      </c>
      <c r="E564" s="4" t="inlineStr">
        <is>
          <t>Pendente</t>
        </is>
      </c>
      <c r="F564" s="4" t="inlineStr"/>
      <c r="G564" s="2">
        <f>IF(AND(E564="Concluída",LEN(TRIM(F564))&gt;0),1,0)</f>
        <v/>
      </c>
      <c r="H564" s="4" t="inlineStr"/>
    </row>
    <row r="565" ht="54" customHeight="1">
      <c r="A565" s="2" t="inlineStr">
        <is>
          <t>E057</t>
        </is>
      </c>
      <c r="B565" s="2" t="inlineStr">
        <is>
          <t>E057.04</t>
        </is>
      </c>
      <c r="C565" s="2" t="inlineStr">
        <is>
          <t>Mostrar inconsistências que impedem solicitar orçamento.</t>
        </is>
      </c>
      <c r="D565" s="2" t="inlineStr">
        <is>
          <t>UX e Frontend</t>
        </is>
      </c>
      <c r="E565" s="4" t="inlineStr">
        <is>
          <t>Pendente</t>
        </is>
      </c>
      <c r="F565" s="4" t="inlineStr"/>
      <c r="G565" s="2">
        <f>IF(AND(E565="Concluída",LEN(TRIM(F565))&gt;0),1,0)</f>
        <v/>
      </c>
      <c r="H565" s="4" t="inlineStr"/>
    </row>
    <row r="566" ht="54" customHeight="1">
      <c r="A566" s="2" t="inlineStr">
        <is>
          <t>E057</t>
        </is>
      </c>
      <c r="B566" s="2" t="inlineStr">
        <is>
          <t>E057.05</t>
        </is>
      </c>
      <c r="C566" s="2" t="inlineStr">
        <is>
          <t>Permitir editar item sem perder o restante da seleção.</t>
        </is>
      </c>
      <c r="D566" s="2" t="inlineStr">
        <is>
          <t>UX e Frontend</t>
        </is>
      </c>
      <c r="E566" s="4" t="inlineStr">
        <is>
          <t>Pendente</t>
        </is>
      </c>
      <c r="F566" s="4" t="inlineStr"/>
      <c r="G566" s="2">
        <f>IF(AND(E566="Concluída",LEN(TRIM(F566))&gt;0),1,0)</f>
        <v/>
      </c>
      <c r="H566" s="4" t="inlineStr"/>
    </row>
    <row r="567" ht="54" customHeight="1">
      <c r="A567" s="2" t="inlineStr">
        <is>
          <t>E057</t>
        </is>
      </c>
      <c r="B567" s="2" t="inlineStr">
        <is>
          <t>E057.06</t>
        </is>
      </c>
      <c r="C567" s="2" t="inlineStr">
        <is>
          <t>Oferecer remoção reversível quando ainda não houver compromisso comercial.</t>
        </is>
      </c>
      <c r="D567" s="2" t="inlineStr">
        <is>
          <t>UX e Frontend</t>
        </is>
      </c>
      <c r="E567" s="4" t="inlineStr">
        <is>
          <t>Pendente</t>
        </is>
      </c>
      <c r="F567" s="4" t="inlineStr"/>
      <c r="G567" s="2">
        <f>IF(AND(E567="Concluída",LEN(TRIM(F567))&gt;0),1,0)</f>
        <v/>
      </c>
      <c r="H567" s="4" t="inlineStr"/>
    </row>
    <row r="568" ht="54" customHeight="1">
      <c r="A568" s="2" t="inlineStr">
        <is>
          <t>E057</t>
        </is>
      </c>
      <c r="B568" s="2" t="inlineStr">
        <is>
          <t>E057.07</t>
        </is>
      </c>
      <c r="C568" s="2" t="inlineStr">
        <is>
          <t>Preservar distribuição e campanha ao retomar um rascunho.</t>
        </is>
      </c>
      <c r="D568" s="2" t="inlineStr">
        <is>
          <t>UX e Frontend</t>
        </is>
      </c>
      <c r="E568" s="4" t="inlineStr">
        <is>
          <t>Pendente</t>
        </is>
      </c>
      <c r="F568" s="4" t="inlineStr"/>
      <c r="G568" s="2">
        <f>IF(AND(E568="Concluída",LEN(TRIM(F568))&gt;0),1,0)</f>
        <v/>
      </c>
      <c r="H568" s="4" t="inlineStr"/>
    </row>
    <row r="569" ht="54" customHeight="1">
      <c r="A569" s="2" t="inlineStr">
        <is>
          <t>E057</t>
        </is>
      </c>
      <c r="B569" s="2" t="inlineStr">
        <is>
          <t>E057.08</t>
        </is>
      </c>
      <c r="C569" s="2" t="inlineStr">
        <is>
          <t>Revalidar dados antigos do catálogo antes de avançar.</t>
        </is>
      </c>
      <c r="D569" s="2" t="inlineStr">
        <is>
          <t>UX e Frontend</t>
        </is>
      </c>
      <c r="E569" s="4" t="inlineStr">
        <is>
          <t>Pendente</t>
        </is>
      </c>
      <c r="F569" s="4" t="inlineStr"/>
      <c r="G569" s="2">
        <f>IF(AND(E569="Concluída",LEN(TRIM(F569))&gt;0),1,0)</f>
        <v/>
      </c>
      <c r="H569" s="4" t="inlineStr"/>
    </row>
    <row r="570" ht="54" customHeight="1">
      <c r="A570" s="2" t="inlineStr">
        <is>
          <t>E057</t>
        </is>
      </c>
      <c r="B570" s="2" t="inlineStr">
        <is>
          <t>E057.09</t>
        </is>
      </c>
      <c r="C570" s="2" t="inlineStr">
        <is>
          <t>Apresentar total estimado e itens ainda dependentes de cotação.</t>
        </is>
      </c>
      <c r="D570" s="2" t="inlineStr">
        <is>
          <t>UX e Frontend</t>
        </is>
      </c>
      <c r="E570" s="4" t="inlineStr">
        <is>
          <t>Pendente</t>
        </is>
      </c>
      <c r="F570" s="4" t="inlineStr"/>
      <c r="G570" s="2">
        <f>IF(AND(E570="Concluída",LEN(TRIM(F570))&gt;0),1,0)</f>
        <v/>
      </c>
      <c r="H570" s="4" t="inlineStr"/>
    </row>
    <row r="571" ht="54" customHeight="1">
      <c r="A571" s="2" t="inlineStr">
        <is>
          <t>E057</t>
        </is>
      </c>
      <c r="B571" s="2" t="inlineStr">
        <is>
          <t>E057.10</t>
        </is>
      </c>
      <c r="C571" s="2" t="inlineStr">
        <is>
          <t>Testar retomada, troca de contexto e alteração concorrente do rascunho.</t>
        </is>
      </c>
      <c r="D571" s="2" t="inlineStr">
        <is>
          <t>UX e Frontend</t>
        </is>
      </c>
      <c r="E571" s="4" t="inlineStr">
        <is>
          <t>Pendente</t>
        </is>
      </c>
      <c r="F571" s="4" t="inlineStr"/>
      <c r="G571" s="2">
        <f>IF(AND(E571="Concluída",LEN(TRIM(F571))&gt;0),1,0)</f>
        <v/>
      </c>
      <c r="H571" s="4" t="inlineStr"/>
    </row>
    <row r="572" ht="54" customHeight="1">
      <c r="A572" s="2" t="inlineStr">
        <is>
          <t>E058</t>
        </is>
      </c>
      <c r="B572" s="2" t="inlineStr">
        <is>
          <t>E058.01</t>
        </is>
      </c>
      <c r="C572" s="2" t="inlineStr">
        <is>
          <t>Exibir produto, variante, quantidade e preço unitário por item.</t>
        </is>
      </c>
      <c r="D572" s="2" t="inlineStr">
        <is>
          <t>UX, Comercial e Frontend</t>
        </is>
      </c>
      <c r="E572" s="4" t="inlineStr">
        <is>
          <t>Pendente</t>
        </is>
      </c>
      <c r="F572" s="4" t="inlineStr"/>
      <c r="G572" s="2">
        <f>IF(AND(E572="Concluída",LEN(TRIM(F572))&gt;0),1,0)</f>
        <v/>
      </c>
      <c r="H572" s="4" t="inlineStr"/>
    </row>
    <row r="573" ht="54" customHeight="1">
      <c r="A573" s="2" t="inlineStr">
        <is>
          <t>E058</t>
        </is>
      </c>
      <c r="B573" s="2" t="inlineStr">
        <is>
          <t>E058.02</t>
        </is>
      </c>
      <c r="C573" s="2" t="inlineStr">
        <is>
          <t>Discriminar personalização e preparação de produção aplicáveis.</t>
        </is>
      </c>
      <c r="D573" s="2" t="inlineStr">
        <is>
          <t>UX, Comercial e Frontend</t>
        </is>
      </c>
      <c r="E573" s="4" t="inlineStr">
        <is>
          <t>Pendente</t>
        </is>
      </c>
      <c r="F573" s="4" t="inlineStr"/>
      <c r="G573" s="2">
        <f>IF(AND(E573="Concluída",LEN(TRIM(F573))&gt;0),1,0)</f>
        <v/>
      </c>
      <c r="H573" s="4" t="inlineStr"/>
    </row>
    <row r="574" ht="54" customHeight="1">
      <c r="A574" s="2" t="inlineStr">
        <is>
          <t>E058</t>
        </is>
      </c>
      <c r="B574" s="2" t="inlineStr">
        <is>
          <t>E058.03</t>
        </is>
      </c>
      <c r="C574" s="2" t="inlineStr">
        <is>
          <t>Apresentar embalagem, montagem e frete por destino quando cobrados.</t>
        </is>
      </c>
      <c r="D574" s="2" t="inlineStr">
        <is>
          <t>UX, Comercial e Frontend</t>
        </is>
      </c>
      <c r="E574" s="4" t="inlineStr">
        <is>
          <t>Pendente</t>
        </is>
      </c>
      <c r="F574" s="4" t="inlineStr"/>
      <c r="G574" s="2">
        <f>IF(AND(E574="Concluída",LEN(TRIM(F574))&gt;0),1,0)</f>
        <v/>
      </c>
      <c r="H574" s="4" t="inlineStr"/>
    </row>
    <row r="575" ht="54" customHeight="1">
      <c r="A575" s="2" t="inlineStr">
        <is>
          <t>E058</t>
        </is>
      </c>
      <c r="B575" s="2" t="inlineStr">
        <is>
          <t>E058.04</t>
        </is>
      </c>
      <c r="C575" s="2" t="inlineStr">
        <is>
          <t>Indicar tributos e condições comerciais incluídos no valor.</t>
        </is>
      </c>
      <c r="D575" s="2" t="inlineStr">
        <is>
          <t>UX, Comercial e Frontend</t>
        </is>
      </c>
      <c r="E575" s="4" t="inlineStr">
        <is>
          <t>Pendente</t>
        </is>
      </c>
      <c r="F575" s="4" t="inlineStr"/>
      <c r="G575" s="2">
        <f>IF(AND(E575="Concluída",LEN(TRIM(F575))&gt;0),1,0)</f>
        <v/>
      </c>
      <c r="H575" s="4" t="inlineStr"/>
    </row>
    <row r="576" ht="54" customHeight="1">
      <c r="A576" s="2" t="inlineStr">
        <is>
          <t>E058</t>
        </is>
      </c>
      <c r="B576" s="2" t="inlineStr">
        <is>
          <t>E058.05</t>
        </is>
      </c>
      <c r="C576" s="2" t="inlineStr">
        <is>
          <t>Separar desconto autorizado de preço de origem e negociação pendente.</t>
        </is>
      </c>
      <c r="D576" s="2" t="inlineStr">
        <is>
          <t>UX, Comercial e Frontend</t>
        </is>
      </c>
      <c r="E576" s="4" t="inlineStr">
        <is>
          <t>Pendente</t>
        </is>
      </c>
      <c r="F576" s="4" t="inlineStr"/>
      <c r="G576" s="2">
        <f>IF(AND(E576="Concluída",LEN(TRIM(F576))&gt;0),1,0)</f>
        <v/>
      </c>
      <c r="H576" s="4" t="inlineStr"/>
    </row>
    <row r="577" ht="54" customHeight="1">
      <c r="A577" s="2" t="inlineStr">
        <is>
          <t>E058</t>
        </is>
      </c>
      <c r="B577" s="2" t="inlineStr">
        <is>
          <t>E058.06</t>
        </is>
      </c>
      <c r="C577" s="2" t="inlineStr">
        <is>
          <t>Mostrar total consolidado e distribuição relevante por centro de custo.</t>
        </is>
      </c>
      <c r="D577" s="2" t="inlineStr">
        <is>
          <t>UX, Comercial e Frontend</t>
        </is>
      </c>
      <c r="E577" s="4" t="inlineStr">
        <is>
          <t>Pendente</t>
        </is>
      </c>
      <c r="F577" s="4" t="inlineStr"/>
      <c r="G577" s="2">
        <f>IF(AND(E577="Concluída",LEN(TRIM(F577))&gt;0),1,0)</f>
        <v/>
      </c>
      <c r="H577" s="4" t="inlineStr"/>
    </row>
    <row r="578" ht="54" customHeight="1">
      <c r="A578" s="2" t="inlineStr">
        <is>
          <t>E058</t>
        </is>
      </c>
      <c r="B578" s="2" t="inlineStr">
        <is>
          <t>E058.07</t>
        </is>
      </c>
      <c r="C578" s="2" t="inlineStr">
        <is>
          <t>Apresentar validade, condição de pagamento e prazo contratado ou estimado.</t>
        </is>
      </c>
      <c r="D578" s="2" t="inlineStr">
        <is>
          <t>UX, Comercial e Frontend</t>
        </is>
      </c>
      <c r="E578" s="4" t="inlineStr">
        <is>
          <t>Pendente</t>
        </is>
      </c>
      <c r="F578" s="4" t="inlineStr"/>
      <c r="G578" s="2">
        <f>IF(AND(E578="Concluída",LEN(TRIM(F578))&gt;0),1,0)</f>
        <v/>
      </c>
      <c r="H578" s="4" t="inlineStr"/>
    </row>
    <row r="579" ht="54" customHeight="1">
      <c r="A579" s="2" t="inlineStr">
        <is>
          <t>E058</t>
        </is>
      </c>
      <c r="B579" s="2" t="inlineStr">
        <is>
          <t>E058.08</t>
        </is>
      </c>
      <c r="C579" s="2" t="inlineStr">
        <is>
          <t>Evidenciar os dados ainda necessários para uma proposta firme.</t>
        </is>
      </c>
      <c r="D579" s="2" t="inlineStr">
        <is>
          <t>UX, Comercial e Frontend</t>
        </is>
      </c>
      <c r="E579" s="4" t="inlineStr">
        <is>
          <t>Pendente</t>
        </is>
      </c>
      <c r="F579" s="4" t="inlineStr"/>
      <c r="G579" s="2">
        <f>IF(AND(E579="Concluída",LEN(TRIM(F579))&gt;0),1,0)</f>
        <v/>
      </c>
      <c r="H579" s="4" t="inlineStr"/>
    </row>
    <row r="580" ht="54" customHeight="1">
      <c r="A580" s="2" t="inlineStr">
        <is>
          <t>E058</t>
        </is>
      </c>
      <c r="B580" s="2" t="inlineStr">
        <is>
          <t>E058.09</t>
        </is>
      </c>
      <c r="C580" s="2" t="inlineStr">
        <is>
          <t>Disponibilizar resumo legível antes de qualquer solicitação de aprovação.</t>
        </is>
      </c>
      <c r="D580" s="2" t="inlineStr">
        <is>
          <t>UX, Comercial e Frontend</t>
        </is>
      </c>
      <c r="E580" s="4" t="inlineStr">
        <is>
          <t>Pendente</t>
        </is>
      </c>
      <c r="F580" s="4" t="inlineStr"/>
      <c r="G580" s="2">
        <f>IF(AND(E580="Concluída",LEN(TRIM(F580))&gt;0),1,0)</f>
        <v/>
      </c>
      <c r="H580" s="4" t="inlineStr"/>
    </row>
    <row r="581" ht="54" customHeight="1">
      <c r="A581" s="2" t="inlineStr">
        <is>
          <t>E058</t>
        </is>
      </c>
      <c r="B581" s="2" t="inlineStr">
        <is>
          <t>E058.10</t>
        </is>
      </c>
      <c r="C581" s="2" t="inlineStr">
        <is>
          <t>Conferir arredondamento e compreensão do total com compras e financeiro.</t>
        </is>
      </c>
      <c r="D581" s="2" t="inlineStr">
        <is>
          <t>UX, Comercial e Frontend</t>
        </is>
      </c>
      <c r="E581" s="4" t="inlineStr">
        <is>
          <t>Pendente</t>
        </is>
      </c>
      <c r="F581" s="4" t="inlineStr"/>
      <c r="G581" s="2">
        <f>IF(AND(E581="Concluída",LEN(TRIM(F581))&gt;0),1,0)</f>
        <v/>
      </c>
      <c r="H581" s="4" t="inlineStr"/>
    </row>
    <row r="582" ht="54" customHeight="1">
      <c r="A582" s="2" t="inlineStr">
        <is>
          <t>E059</t>
        </is>
      </c>
      <c r="B582" s="2" t="inlineStr">
        <is>
          <t>E059.01</t>
        </is>
      </c>
      <c r="C582" s="2" t="inlineStr">
        <is>
          <t>Definir identificador e número de versão da proposta.</t>
        </is>
      </c>
      <c r="D582" s="2" t="inlineStr">
        <is>
          <t>Backend, Comercial e UX</t>
        </is>
      </c>
      <c r="E582" s="4" t="inlineStr">
        <is>
          <t>Pendente</t>
        </is>
      </c>
      <c r="F582" s="4" t="inlineStr"/>
      <c r="G582" s="2">
        <f>IF(AND(E582="Concluída",LEN(TRIM(F582))&gt;0),1,0)</f>
        <v/>
      </c>
      <c r="H582" s="4" t="inlineStr"/>
    </row>
    <row r="583" ht="54" customHeight="1">
      <c r="A583" s="2" t="inlineStr">
        <is>
          <t>E059</t>
        </is>
      </c>
      <c r="B583" s="2" t="inlineStr">
        <is>
          <t>E059.02</t>
        </is>
      </c>
      <c r="C583" s="2" t="inlineStr">
        <is>
          <t>Guardar fotografia de itens, preços, condições e distribuição.</t>
        </is>
      </c>
      <c r="D583" s="2" t="inlineStr">
        <is>
          <t>Backend, Comercial e UX</t>
        </is>
      </c>
      <c r="E583" s="4" t="inlineStr">
        <is>
          <t>Pendente</t>
        </is>
      </c>
      <c r="F583" s="4" t="inlineStr"/>
      <c r="G583" s="2">
        <f>IF(AND(E583="Concluída",LEN(TRIM(F583))&gt;0),1,0)</f>
        <v/>
      </c>
      <c r="H583" s="4" t="inlineStr"/>
    </row>
    <row r="584" ht="54" customHeight="1">
      <c r="A584" s="2" t="inlineStr">
        <is>
          <t>E059</t>
        </is>
      </c>
      <c r="B584" s="2" t="inlineStr">
        <is>
          <t>E059.03</t>
        </is>
      </c>
      <c r="C584" s="2" t="inlineStr">
        <is>
          <t>Associar as versões de arte exigidas por cada item.</t>
        </is>
      </c>
      <c r="D584" s="2" t="inlineStr">
        <is>
          <t>Backend, Comercial e UX</t>
        </is>
      </c>
      <c r="E584" s="4" t="inlineStr">
        <is>
          <t>Pendente</t>
        </is>
      </c>
      <c r="F584" s="4" t="inlineStr"/>
      <c r="G584" s="2">
        <f>IF(AND(E584="Concluída",LEN(TRIM(F584))&gt;0),1,0)</f>
        <v/>
      </c>
      <c r="H584" s="4" t="inlineStr"/>
    </row>
    <row r="585" ht="54" customHeight="1">
      <c r="A585" s="2" t="inlineStr">
        <is>
          <t>E059</t>
        </is>
      </c>
      <c r="B585" s="2" t="inlineStr">
        <is>
          <t>E059.04</t>
        </is>
      </c>
      <c r="C585" s="2" t="inlineStr">
        <is>
          <t>Impedir edição silenciosa de proposta já enviada para decisão.</t>
        </is>
      </c>
      <c r="D585" s="2" t="inlineStr">
        <is>
          <t>Backend, Comercial e UX</t>
        </is>
      </c>
      <c r="E585" s="4" t="inlineStr">
        <is>
          <t>Pendente</t>
        </is>
      </c>
      <c r="F585" s="4" t="inlineStr"/>
      <c r="G585" s="2">
        <f>IF(AND(E585="Concluída",LEN(TRIM(F585))&gt;0),1,0)</f>
        <v/>
      </c>
      <c r="H585" s="4" t="inlineStr"/>
    </row>
    <row r="586" ht="54" customHeight="1">
      <c r="A586" s="2" t="inlineStr">
        <is>
          <t>E059</t>
        </is>
      </c>
      <c r="B586" s="2" t="inlineStr">
        <is>
          <t>E059.05</t>
        </is>
      </c>
      <c r="C586" s="2" t="inlineStr">
        <is>
          <t>Destacar diferenças entre versão anterior e revisão comercial.</t>
        </is>
      </c>
      <c r="D586" s="2" t="inlineStr">
        <is>
          <t>Backend, Comercial e UX</t>
        </is>
      </c>
      <c r="E586" s="4" t="inlineStr">
        <is>
          <t>Pendente</t>
        </is>
      </c>
      <c r="F586" s="4" t="inlineStr"/>
      <c r="G586" s="2">
        <f>IF(AND(E586="Concluída",LEN(TRIM(F586))&gt;0),1,0)</f>
        <v/>
      </c>
      <c r="H586" s="4" t="inlineStr"/>
    </row>
    <row r="587" ht="54" customHeight="1">
      <c r="A587" s="2" t="inlineStr">
        <is>
          <t>E059</t>
        </is>
      </c>
      <c r="B587" s="2" t="inlineStr">
        <is>
          <t>E059.06</t>
        </is>
      </c>
      <c r="C587" s="2" t="inlineStr">
        <is>
          <t>Definir quais mudanças invalidam aprovação de arte ou despesa.</t>
        </is>
      </c>
      <c r="D587" s="2" t="inlineStr">
        <is>
          <t>Backend, Comercial e UX</t>
        </is>
      </c>
      <c r="E587" s="4" t="inlineStr">
        <is>
          <t>Pendente</t>
        </is>
      </c>
      <c r="F587" s="4" t="inlineStr"/>
      <c r="G587" s="2">
        <f>IF(AND(E587="Concluída",LEN(TRIM(F587))&gt;0),1,0)</f>
        <v/>
      </c>
      <c r="H587" s="4" t="inlineStr"/>
    </row>
    <row r="588" ht="54" customHeight="1">
      <c r="A588" s="2" t="inlineStr">
        <is>
          <t>E059</t>
        </is>
      </c>
      <c r="B588" s="2" t="inlineStr">
        <is>
          <t>E059.07</t>
        </is>
      </c>
      <c r="C588" s="2" t="inlineStr">
        <is>
          <t>Registrar validade e expiração da proposta independentemente do catálogo.</t>
        </is>
      </c>
      <c r="D588" s="2" t="inlineStr">
        <is>
          <t>Backend, Comercial e UX</t>
        </is>
      </c>
      <c r="E588" s="4" t="inlineStr">
        <is>
          <t>Pendente</t>
        </is>
      </c>
      <c r="F588" s="4" t="inlineStr"/>
      <c r="G588" s="2">
        <f>IF(AND(E588="Concluída",LEN(TRIM(F588))&gt;0),1,0)</f>
        <v/>
      </c>
      <c r="H588" s="4" t="inlineStr"/>
    </row>
    <row r="589" ht="54" customHeight="1">
      <c r="A589" s="2" t="inlineStr">
        <is>
          <t>E059</t>
        </is>
      </c>
      <c r="B589" s="2" t="inlineStr">
        <is>
          <t>E059.08</t>
        </is>
      </c>
      <c r="C589" s="2" t="inlineStr">
        <is>
          <t>Gerar documento com identificação inequívoca da versão apresentada.</t>
        </is>
      </c>
      <c r="D589" s="2" t="inlineStr">
        <is>
          <t>Backend, Comercial e UX</t>
        </is>
      </c>
      <c r="E589" s="4" t="inlineStr">
        <is>
          <t>Pendente</t>
        </is>
      </c>
      <c r="F589" s="4" t="inlineStr"/>
      <c r="G589" s="2">
        <f>IF(AND(E589="Concluída",LEN(TRIM(F589))&gt;0),1,0)</f>
        <v/>
      </c>
      <c r="H589" s="4" t="inlineStr"/>
    </row>
    <row r="590" ht="54" customHeight="1">
      <c r="A590" s="2" t="inlineStr">
        <is>
          <t>E059</t>
        </is>
      </c>
      <c r="B590" s="2" t="inlineStr">
        <is>
          <t>E059.09</t>
        </is>
      </c>
      <c r="C590" s="2" t="inlineStr">
        <is>
          <t>Preservar vínculo entre proposta aceita e pedido resultante.</t>
        </is>
      </c>
      <c r="D590" s="2" t="inlineStr">
        <is>
          <t>Backend, Comercial e UX</t>
        </is>
      </c>
      <c r="E590" s="4" t="inlineStr">
        <is>
          <t>Pendente</t>
        </is>
      </c>
      <c r="F590" s="4" t="inlineStr"/>
      <c r="G590" s="2">
        <f>IF(AND(E590="Concluída",LEN(TRIM(F590))&gt;0),1,0)</f>
        <v/>
      </c>
      <c r="H590" s="4" t="inlineStr"/>
    </row>
    <row r="591" ht="54" customHeight="1">
      <c r="A591" s="2" t="inlineStr">
        <is>
          <t>E059</t>
        </is>
      </c>
      <c r="B591" s="2" t="inlineStr">
        <is>
          <t>E059.10</t>
        </is>
      </c>
      <c r="C591" s="2" t="inlineStr">
        <is>
          <t>Testar alteração de preço e arte sem modificar registros já aprovados.</t>
        </is>
      </c>
      <c r="D591" s="2" t="inlineStr">
        <is>
          <t>Backend, Comercial e UX</t>
        </is>
      </c>
      <c r="E591" s="4" t="inlineStr">
        <is>
          <t>Pendente</t>
        </is>
      </c>
      <c r="F591" s="4" t="inlineStr"/>
      <c r="G591" s="2">
        <f>IF(AND(E591="Concluída",LEN(TRIM(F591))&gt;0),1,0)</f>
        <v/>
      </c>
      <c r="H591" s="4" t="inlineStr"/>
    </row>
    <row r="592" ht="54" customHeight="1">
      <c r="A592" s="2" t="inlineStr">
        <is>
          <t>E060</t>
        </is>
      </c>
      <c r="B592" s="2" t="inlineStr">
        <is>
          <t>E060.01</t>
        </is>
      </c>
      <c r="C592" s="2" t="inlineStr">
        <is>
          <t>Identificar quantidade de cotações exigida pela política aplicável.</t>
        </is>
      </c>
      <c r="D592" s="2" t="inlineStr">
        <is>
          <t>Compras, UX e Backend</t>
        </is>
      </c>
      <c r="E592" s="4" t="inlineStr">
        <is>
          <t>Pendente</t>
        </is>
      </c>
      <c r="F592" s="4" t="inlineStr"/>
      <c r="G592" s="2">
        <f>IF(AND(E592="Concluída",LEN(TRIM(F592))&gt;0),1,0)</f>
        <v/>
      </c>
      <c r="H592" s="4" t="inlineStr"/>
    </row>
    <row r="593" ht="54" customHeight="1">
      <c r="A593" s="2" t="inlineStr">
        <is>
          <t>E060</t>
        </is>
      </c>
      <c r="B593" s="2" t="inlineStr">
        <is>
          <t>E060.02</t>
        </is>
      </c>
      <c r="C593" s="2" t="inlineStr">
        <is>
          <t>Permitir anexar propostas externas com fornecedor, data e validade.</t>
        </is>
      </c>
      <c r="D593" s="2" t="inlineStr">
        <is>
          <t>Compras, UX e Backend</t>
        </is>
      </c>
      <c r="E593" s="4" t="inlineStr">
        <is>
          <t>Pendente</t>
        </is>
      </c>
      <c r="F593" s="4" t="inlineStr"/>
      <c r="G593" s="2">
        <f>IF(AND(E593="Concluída",LEN(TRIM(F593))&gt;0),1,0)</f>
        <v/>
      </c>
      <c r="H593" s="4" t="inlineStr"/>
    </row>
    <row r="594" ht="54" customHeight="1">
      <c r="A594" s="2" t="inlineStr">
        <is>
          <t>E060</t>
        </is>
      </c>
      <c r="B594" s="2" t="inlineStr">
        <is>
          <t>E060.03</t>
        </is>
      </c>
      <c r="C594" s="2" t="inlineStr">
        <is>
          <t>Normalizar quantidade, personalização, embalagem e destinos comparados.</t>
        </is>
      </c>
      <c r="D594" s="2" t="inlineStr">
        <is>
          <t>Compras, UX e Backend</t>
        </is>
      </c>
      <c r="E594" s="4" t="inlineStr">
        <is>
          <t>Pendente</t>
        </is>
      </c>
      <c r="F594" s="4" t="inlineStr"/>
      <c r="G594" s="2">
        <f>IF(AND(E594="Concluída",LEN(TRIM(F594))&gt;0),1,0)</f>
        <v/>
      </c>
      <c r="H594" s="4" t="inlineStr"/>
    </row>
    <row r="595" ht="54" customHeight="1">
      <c r="A595" s="2" t="inlineStr">
        <is>
          <t>E060</t>
        </is>
      </c>
      <c r="B595" s="2" t="inlineStr">
        <is>
          <t>E060.04</t>
        </is>
      </c>
      <c r="C595" s="2" t="inlineStr">
        <is>
          <t>Exibir diferenças de prazo, pagamento e custo entregue.</t>
        </is>
      </c>
      <c r="D595" s="2" t="inlineStr">
        <is>
          <t>Compras, UX e Backend</t>
        </is>
      </c>
      <c r="E595" s="4" t="inlineStr">
        <is>
          <t>Pendente</t>
        </is>
      </c>
      <c r="F595" s="4" t="inlineStr"/>
      <c r="G595" s="2">
        <f>IF(AND(E595="Concluída",LEN(TRIM(F595))&gt;0),1,0)</f>
        <v/>
      </c>
      <c r="H595" s="4" t="inlineStr"/>
    </row>
    <row r="596" ht="54" customHeight="1">
      <c r="A596" s="2" t="inlineStr">
        <is>
          <t>E060</t>
        </is>
      </c>
      <c r="B596" s="2" t="inlineStr">
        <is>
          <t>E060.05</t>
        </is>
      </c>
      <c r="C596" s="2" t="inlineStr">
        <is>
          <t>Registrar critérios relevantes além do menor preço unitário.</t>
        </is>
      </c>
      <c r="D596" s="2" t="inlineStr">
        <is>
          <t>Compras, UX e Backend</t>
        </is>
      </c>
      <c r="E596" s="4" t="inlineStr">
        <is>
          <t>Pendente</t>
        </is>
      </c>
      <c r="F596" s="4" t="inlineStr"/>
      <c r="G596" s="2">
        <f>IF(AND(E596="Concluída",LEN(TRIM(F596))&gt;0),1,0)</f>
        <v/>
      </c>
      <c r="H596" s="4" t="inlineStr"/>
    </row>
    <row r="597" ht="54" customHeight="1">
      <c r="A597" s="2" t="inlineStr">
        <is>
          <t>E060</t>
        </is>
      </c>
      <c r="B597" s="2" t="inlineStr">
        <is>
          <t>E060.06</t>
        </is>
      </c>
      <c r="C597" s="2" t="inlineStr">
        <is>
          <t>Sinalizar proposta incompleta ou vencida antes da decisão.</t>
        </is>
      </c>
      <c r="D597" s="2" t="inlineStr">
        <is>
          <t>Compras, UX e Backend</t>
        </is>
      </c>
      <c r="E597" s="4" t="inlineStr">
        <is>
          <t>Pendente</t>
        </is>
      </c>
      <c r="F597" s="4" t="inlineStr"/>
      <c r="G597" s="2">
        <f>IF(AND(E597="Concluída",LEN(TRIM(F597))&gt;0),1,0)</f>
        <v/>
      </c>
      <c r="H597" s="4" t="inlineStr"/>
    </row>
    <row r="598" ht="54" customHeight="1">
      <c r="A598" s="2" t="inlineStr">
        <is>
          <t>E060</t>
        </is>
      </c>
      <c r="B598" s="2" t="inlineStr">
        <is>
          <t>E060.07</t>
        </is>
      </c>
      <c r="C598" s="2" t="inlineStr">
        <is>
          <t>Permitir justificativa autorizada para fornecedor único quando aplicável.</t>
        </is>
      </c>
      <c r="D598" s="2" t="inlineStr">
        <is>
          <t>Compras, UX e Backend</t>
        </is>
      </c>
      <c r="E598" s="4" t="inlineStr">
        <is>
          <t>Pendente</t>
        </is>
      </c>
      <c r="F598" s="4" t="inlineStr"/>
      <c r="G598" s="2">
        <f>IF(AND(E598="Concluída",LEN(TRIM(F598))&gt;0),1,0)</f>
        <v/>
      </c>
      <c r="H598" s="4" t="inlineStr"/>
    </row>
    <row r="599" ht="54" customHeight="1">
      <c r="A599" s="2" t="inlineStr">
        <is>
          <t>E060</t>
        </is>
      </c>
      <c r="B599" s="2" t="inlineStr">
        <is>
          <t>E060.08</t>
        </is>
      </c>
      <c r="C599" s="2" t="inlineStr">
        <is>
          <t>Preservar anexos e responsáveis pela análise comercial.</t>
        </is>
      </c>
      <c r="D599" s="2" t="inlineStr">
        <is>
          <t>Compras, UX e Backend</t>
        </is>
      </c>
      <c r="E599" s="4" t="inlineStr">
        <is>
          <t>Pendente</t>
        </is>
      </c>
      <c r="F599" s="4" t="inlineStr"/>
      <c r="G599" s="2">
        <f>IF(AND(E599="Concluída",LEN(TRIM(F599))&gt;0),1,0)</f>
        <v/>
      </c>
      <c r="H599" s="4" t="inlineStr"/>
    </row>
    <row r="600" ht="54" customHeight="1">
      <c r="A600" s="2" t="inlineStr">
        <is>
          <t>E060</t>
        </is>
      </c>
      <c r="B600" s="2" t="inlineStr">
        <is>
          <t>E060.09</t>
        </is>
      </c>
      <c r="C600" s="2" t="inlineStr">
        <is>
          <t>Restringir dados de negociação às pessoas que podem consultá-los.</t>
        </is>
      </c>
      <c r="D600" s="2" t="inlineStr">
        <is>
          <t>Compras, UX e Backend</t>
        </is>
      </c>
      <c r="E600" s="4" t="inlineStr">
        <is>
          <t>Pendente</t>
        </is>
      </c>
      <c r="F600" s="4" t="inlineStr"/>
      <c r="G600" s="2">
        <f>IF(AND(E600="Concluída",LEN(TRIM(F600))&gt;0),1,0)</f>
        <v/>
      </c>
      <c r="H600" s="4" t="inlineStr"/>
    </row>
    <row r="601" ht="54" customHeight="1">
      <c r="A601" s="2" t="inlineStr">
        <is>
          <t>E060</t>
        </is>
      </c>
      <c r="B601" s="2" t="inlineStr">
        <is>
          <t>E060.10</t>
        </is>
      </c>
      <c r="C601" s="2" t="inlineStr">
        <is>
          <t>Validar cenários de duas cotações, três cotações e exceção documentada.</t>
        </is>
      </c>
      <c r="D601" s="2" t="inlineStr">
        <is>
          <t>Compras, UX e Backend</t>
        </is>
      </c>
      <c r="E601" s="4" t="inlineStr">
        <is>
          <t>Pendente</t>
        </is>
      </c>
      <c r="F601" s="4" t="inlineStr"/>
      <c r="G601" s="2">
        <f>IF(AND(E601="Concluída",LEN(TRIM(F601))&gt;0),1,0)</f>
        <v/>
      </c>
      <c r="H601" s="4" t="inlineStr"/>
    </row>
    <row r="602" ht="54" customHeight="1">
      <c r="A602" s="2" t="inlineStr">
        <is>
          <t>E061</t>
        </is>
      </c>
      <c r="B602" s="2" t="inlineStr">
        <is>
          <t>E061.01</t>
        </is>
      </c>
      <c r="C602" s="2" t="inlineStr">
        <is>
          <t>Exibir resumo de campanha, itens, destinos e valor antes do envio.</t>
        </is>
      </c>
      <c r="D602" s="2" t="inlineStr">
        <is>
          <t>UX, Frontend e Backend</t>
        </is>
      </c>
      <c r="E602" s="4" t="inlineStr">
        <is>
          <t>Pendente</t>
        </is>
      </c>
      <c r="F602" s="4" t="inlineStr"/>
      <c r="G602" s="2">
        <f>IF(AND(E602="Concluída",LEN(TRIM(F602))&gt;0),1,0)</f>
        <v/>
      </c>
      <c r="H602" s="4" t="inlineStr"/>
    </row>
    <row r="603" ht="54" customHeight="1">
      <c r="A603" s="2" t="inlineStr">
        <is>
          <t>E061</t>
        </is>
      </c>
      <c r="B603" s="2" t="inlineStr">
        <is>
          <t>E061.02</t>
        </is>
      </c>
      <c r="C603" s="2" t="inlineStr">
        <is>
          <t>Identificar política, centro de custo e período de verba aplicáveis.</t>
        </is>
      </c>
      <c r="D603" s="2" t="inlineStr">
        <is>
          <t>UX, Frontend e Backend</t>
        </is>
      </c>
      <c r="E603" s="4" t="inlineStr">
        <is>
          <t>Pendente</t>
        </is>
      </c>
      <c r="F603" s="4" t="inlineStr"/>
      <c r="G603" s="2">
        <f>IF(AND(E603="Concluída",LEN(TRIM(F603))&gt;0),1,0)</f>
        <v/>
      </c>
      <c r="H603" s="4" t="inlineStr"/>
    </row>
    <row r="604" ht="54" customHeight="1">
      <c r="A604" s="2" t="inlineStr">
        <is>
          <t>E061</t>
        </is>
      </c>
      <c r="B604" s="2" t="inlineStr">
        <is>
          <t>E061.03</t>
        </is>
      </c>
      <c r="C604" s="2" t="inlineStr">
        <is>
          <t>Solicitar justificativa apenas quando a regra ou o contexto exigirem.</t>
        </is>
      </c>
      <c r="D604" s="2" t="inlineStr">
        <is>
          <t>UX, Frontend e Backend</t>
        </is>
      </c>
      <c r="E604" s="4" t="inlineStr">
        <is>
          <t>Pendente</t>
        </is>
      </c>
      <c r="F604" s="4" t="inlineStr"/>
      <c r="G604" s="2">
        <f>IF(AND(E604="Concluída",LEN(TRIM(F604))&gt;0),1,0)</f>
        <v/>
      </c>
      <c r="H604" s="4" t="inlineStr"/>
    </row>
    <row r="605" ht="54" customHeight="1">
      <c r="A605" s="2" t="inlineStr">
        <is>
          <t>E061</t>
        </is>
      </c>
      <c r="B605" s="2" t="inlineStr">
        <is>
          <t>E061.04</t>
        </is>
      </c>
      <c r="C605" s="2" t="inlineStr">
        <is>
          <t>Mostrar aprovações necessárias e quem receberá a solicitação.</t>
        </is>
      </c>
      <c r="D605" s="2" t="inlineStr">
        <is>
          <t>UX, Frontend e Backend</t>
        </is>
      </c>
      <c r="E605" s="4" t="inlineStr">
        <is>
          <t>Pendente</t>
        </is>
      </c>
      <c r="F605" s="4" t="inlineStr"/>
      <c r="G605" s="2">
        <f>IF(AND(E605="Concluída",LEN(TRIM(F605))&gt;0),1,0)</f>
        <v/>
      </c>
      <c r="H605" s="4" t="inlineStr"/>
    </row>
    <row r="606" ht="54" customHeight="1">
      <c r="A606" s="2" t="inlineStr">
        <is>
          <t>E061</t>
        </is>
      </c>
      <c r="B606" s="2" t="inlineStr">
        <is>
          <t>E061.05</t>
        </is>
      </c>
      <c r="C606" s="2" t="inlineStr">
        <is>
          <t>Validar campos, anexos e cotação obrigatórios no servidor.</t>
        </is>
      </c>
      <c r="D606" s="2" t="inlineStr">
        <is>
          <t>UX, Frontend e Backend</t>
        </is>
      </c>
      <c r="E606" s="4" t="inlineStr">
        <is>
          <t>Pendente</t>
        </is>
      </c>
      <c r="F606" s="4" t="inlineStr"/>
      <c r="G606" s="2">
        <f>IF(AND(E606="Concluída",LEN(TRIM(F606))&gt;0),1,0)</f>
        <v/>
      </c>
      <c r="H606" s="4" t="inlineStr"/>
    </row>
    <row r="607" ht="54" customHeight="1">
      <c r="A607" s="2" t="inlineStr">
        <is>
          <t>E061</t>
        </is>
      </c>
      <c r="B607" s="2" t="inlineStr">
        <is>
          <t>E061.06</t>
        </is>
      </c>
      <c r="C607" s="2" t="inlineStr">
        <is>
          <t>Reconfirmar versão e validade da proposta no momento do envio.</t>
        </is>
      </c>
      <c r="D607" s="2" t="inlineStr">
        <is>
          <t>UX, Frontend e Backend</t>
        </is>
      </c>
      <c r="E607" s="4" t="inlineStr">
        <is>
          <t>Pendente</t>
        </is>
      </c>
      <c r="F607" s="4" t="inlineStr"/>
      <c r="G607" s="2">
        <f>IF(AND(E607="Concluída",LEN(TRIM(F607))&gt;0),1,0)</f>
        <v/>
      </c>
      <c r="H607" s="4" t="inlineStr"/>
    </row>
    <row r="608" ht="54" customHeight="1">
      <c r="A608" s="2" t="inlineStr">
        <is>
          <t>E061</t>
        </is>
      </c>
      <c r="B608" s="2" t="inlineStr">
        <is>
          <t>E061.07</t>
        </is>
      </c>
      <c r="C608" s="2" t="inlineStr">
        <is>
          <t>Executar envio idempotente e informar o resultado confirmado.</t>
        </is>
      </c>
      <c r="D608" s="2" t="inlineStr">
        <is>
          <t>UX, Frontend e Backend</t>
        </is>
      </c>
      <c r="E608" s="4" t="inlineStr">
        <is>
          <t>Pendente</t>
        </is>
      </c>
      <c r="F608" s="4" t="inlineStr"/>
      <c r="G608" s="2">
        <f>IF(AND(E608="Concluída",LEN(TRIM(F608))&gt;0),1,0)</f>
        <v/>
      </c>
      <c r="H608" s="4" t="inlineStr"/>
    </row>
    <row r="609" ht="54" customHeight="1">
      <c r="A609" s="2" t="inlineStr">
        <is>
          <t>E061</t>
        </is>
      </c>
      <c r="B609" s="2" t="inlineStr">
        <is>
          <t>E061.08</t>
        </is>
      </c>
      <c r="C609" s="2" t="inlineStr">
        <is>
          <t>Gerar protocolo e link para acompanhamento da solicitação.</t>
        </is>
      </c>
      <c r="D609" s="2" t="inlineStr">
        <is>
          <t>UX, Frontend e Backend</t>
        </is>
      </c>
      <c r="E609" s="4" t="inlineStr">
        <is>
          <t>Pendente</t>
        </is>
      </c>
      <c r="F609" s="4" t="inlineStr"/>
      <c r="G609" s="2">
        <f>IF(AND(E609="Concluída",LEN(TRIM(F609))&gt;0),1,0)</f>
        <v/>
      </c>
      <c r="H609" s="4" t="inlineStr"/>
    </row>
    <row r="610" ht="54" customHeight="1">
      <c r="A610" s="2" t="inlineStr">
        <is>
          <t>E061</t>
        </is>
      </c>
      <c r="B610" s="2" t="inlineStr">
        <is>
          <t>E061.09</t>
        </is>
      </c>
      <c r="C610" s="2" t="inlineStr">
        <is>
          <t>Preservar rascunho e orientar correção quando houver rejeição de validação.</t>
        </is>
      </c>
      <c r="D610" s="2" t="inlineStr">
        <is>
          <t>UX, Frontend e Backend</t>
        </is>
      </c>
      <c r="E610" s="4" t="inlineStr">
        <is>
          <t>Pendente</t>
        </is>
      </c>
      <c r="F610" s="4" t="inlineStr"/>
      <c r="G610" s="2">
        <f>IF(AND(E610="Concluída",LEN(TRIM(F610))&gt;0),1,0)</f>
        <v/>
      </c>
      <c r="H610" s="4" t="inlineStr"/>
    </row>
    <row r="611" ht="54" customHeight="1">
      <c r="A611" s="2" t="inlineStr">
        <is>
          <t>E061</t>
        </is>
      </c>
      <c r="B611" s="2" t="inlineStr">
        <is>
          <t>E061.10</t>
        </is>
      </c>
      <c r="C611" s="2" t="inlineStr">
        <is>
          <t>Comprovar envio único com tentativa repetida e sessão recuperada.</t>
        </is>
      </c>
      <c r="D611" s="2" t="inlineStr">
        <is>
          <t>UX, Frontend e Backend</t>
        </is>
      </c>
      <c r="E611" s="4" t="inlineStr">
        <is>
          <t>Pendente</t>
        </is>
      </c>
      <c r="F611" s="4" t="inlineStr"/>
      <c r="G611" s="2">
        <f>IF(AND(E611="Concluída",LEN(TRIM(F611))&gt;0),1,0)</f>
        <v/>
      </c>
      <c r="H611" s="4" t="inlineStr"/>
    </row>
    <row r="612" ht="54" customHeight="1">
      <c r="A612" s="2" t="inlineStr">
        <is>
          <t>E062</t>
        </is>
      </c>
      <c r="B612" s="2" t="inlineStr">
        <is>
          <t>E062.01</t>
        </is>
      </c>
      <c r="C612" s="2" t="inlineStr">
        <is>
          <t>Mostrar cooperativa, unidade, centro de custo e competência selecionados.</t>
        </is>
      </c>
      <c r="D612" s="2" t="inlineStr">
        <is>
          <t>UX, Financeiro e Frontend</t>
        </is>
      </c>
      <c r="E612" s="4" t="inlineStr">
        <is>
          <t>Pendente</t>
        </is>
      </c>
      <c r="F612" s="4" t="inlineStr"/>
      <c r="G612" s="2">
        <f>IF(AND(E612="Concluída",LEN(TRIM(F612))&gt;0),1,0)</f>
        <v/>
      </c>
      <c r="H612" s="4" t="inlineStr"/>
    </row>
    <row r="613" ht="54" customHeight="1">
      <c r="A613" s="2" t="inlineStr">
        <is>
          <t>E062</t>
        </is>
      </c>
      <c r="B613" s="2" t="inlineStr">
        <is>
          <t>E062.02</t>
        </is>
      </c>
      <c r="C613" s="2" t="inlineStr">
        <is>
          <t>Separar verba planejada, reservada, comprometida e consumida.</t>
        </is>
      </c>
      <c r="D613" s="2" t="inlineStr">
        <is>
          <t>UX, Financeiro e Frontend</t>
        </is>
      </c>
      <c r="E613" s="4" t="inlineStr">
        <is>
          <t>Pendente</t>
        </is>
      </c>
      <c r="F613" s="4" t="inlineStr"/>
      <c r="G613" s="2">
        <f>IF(AND(E613="Concluída",LEN(TRIM(F613))&gt;0),1,0)</f>
        <v/>
      </c>
      <c r="H613" s="4" t="inlineStr"/>
    </row>
    <row r="614" ht="54" customHeight="1">
      <c r="A614" s="2" t="inlineStr">
        <is>
          <t>E062</t>
        </is>
      </c>
      <c r="B614" s="2" t="inlineStr">
        <is>
          <t>E062.03</t>
        </is>
      </c>
      <c r="C614" s="2" t="inlineStr">
        <is>
          <t>Explicar o saldo disponível em linguagem de decisão de compra.</t>
        </is>
      </c>
      <c r="D614" s="2" t="inlineStr">
        <is>
          <t>UX, Financeiro e Frontend</t>
        </is>
      </c>
      <c r="E614" s="4" t="inlineStr">
        <is>
          <t>Pendente</t>
        </is>
      </c>
      <c r="F614" s="4" t="inlineStr"/>
      <c r="G614" s="2">
        <f>IF(AND(E614="Concluída",LEN(TRIM(F614))&gt;0),1,0)</f>
        <v/>
      </c>
      <c r="H614" s="4" t="inlineStr"/>
    </row>
    <row r="615" ht="54" customHeight="1">
      <c r="A615" s="2" t="inlineStr">
        <is>
          <t>E062</t>
        </is>
      </c>
      <c r="B615" s="2" t="inlineStr">
        <is>
          <t>E062.04</t>
        </is>
      </c>
      <c r="C615" s="2" t="inlineStr">
        <is>
          <t>Relacionar movimentos aos pedidos e eventos que os originaram.</t>
        </is>
      </c>
      <c r="D615" s="2" t="inlineStr">
        <is>
          <t>UX, Financeiro e Frontend</t>
        </is>
      </c>
      <c r="E615" s="4" t="inlineStr">
        <is>
          <t>Pendente</t>
        </is>
      </c>
      <c r="F615" s="4" t="inlineStr"/>
      <c r="G615" s="2">
        <f>IF(AND(E615="Concluída",LEN(TRIM(F615))&gt;0),1,0)</f>
        <v/>
      </c>
      <c r="H615" s="4" t="inlineStr"/>
    </row>
    <row r="616" ht="54" customHeight="1">
      <c r="A616" s="2" t="inlineStr">
        <is>
          <t>E062</t>
        </is>
      </c>
      <c r="B616" s="2" t="inlineStr">
        <is>
          <t>E062.05</t>
        </is>
      </c>
      <c r="C616" s="2" t="inlineStr">
        <is>
          <t>Permitir consulta de períodos históricos sem alterar saldos anteriores.</t>
        </is>
      </c>
      <c r="D616" s="2" t="inlineStr">
        <is>
          <t>UX, Financeiro e Frontend</t>
        </is>
      </c>
      <c r="E616" s="4" t="inlineStr">
        <is>
          <t>Pendente</t>
        </is>
      </c>
      <c r="F616" s="4" t="inlineStr"/>
      <c r="G616" s="2">
        <f>IF(AND(E616="Concluída",LEN(TRIM(F616))&gt;0),1,0)</f>
        <v/>
      </c>
      <c r="H616" s="4" t="inlineStr"/>
    </row>
    <row r="617" ht="54" customHeight="1">
      <c r="A617" s="2" t="inlineStr">
        <is>
          <t>E062</t>
        </is>
      </c>
      <c r="B617" s="2" t="inlineStr">
        <is>
          <t>E062.06</t>
        </is>
      </c>
      <c r="C617" s="2" t="inlineStr">
        <is>
          <t>Exibir data de atualização e tratar erro de consulta explicitamente.</t>
        </is>
      </c>
      <c r="D617" s="2" t="inlineStr">
        <is>
          <t>UX, Financeiro e Frontend</t>
        </is>
      </c>
      <c r="E617" s="4" t="inlineStr">
        <is>
          <t>Pendente</t>
        </is>
      </c>
      <c r="F617" s="4" t="inlineStr"/>
      <c r="G617" s="2">
        <f>IF(AND(E617="Concluída",LEN(TRIM(F617))&gt;0),1,0)</f>
        <v/>
      </c>
      <c r="H617" s="4" t="inlineStr"/>
    </row>
    <row r="618" ht="54" customHeight="1">
      <c r="A618" s="2" t="inlineStr">
        <is>
          <t>E062</t>
        </is>
      </c>
      <c r="B618" s="2" t="inlineStr">
        <is>
          <t>E062.07</t>
        </is>
      </c>
      <c r="C618" s="2" t="inlineStr">
        <is>
          <t>Sinalizar limite insuficiente antes de encaminhar solicitação incompatível.</t>
        </is>
      </c>
      <c r="D618" s="2" t="inlineStr">
        <is>
          <t>UX, Financeiro e Frontend</t>
        </is>
      </c>
      <c r="E618" s="4" t="inlineStr">
        <is>
          <t>Pendente</t>
        </is>
      </c>
      <c r="F618" s="4" t="inlineStr"/>
      <c r="G618" s="2">
        <f>IF(AND(E618="Concluída",LEN(TRIM(F618))&gt;0),1,0)</f>
        <v/>
      </c>
      <c r="H618" s="4" t="inlineStr"/>
    </row>
    <row r="619" ht="54" customHeight="1">
      <c r="A619" s="2" t="inlineStr">
        <is>
          <t>E062</t>
        </is>
      </c>
      <c r="B619" s="2" t="inlineStr">
        <is>
          <t>E062.08</t>
        </is>
      </c>
      <c r="C619" s="2" t="inlineStr">
        <is>
          <t>Mostrar exceções aprovadas sem ocultar seu efeito sobre o saldo.</t>
        </is>
      </c>
      <c r="D619" s="2" t="inlineStr">
        <is>
          <t>UX, Financeiro e Frontend</t>
        </is>
      </c>
      <c r="E619" s="4" t="inlineStr">
        <is>
          <t>Pendente</t>
        </is>
      </c>
      <c r="F619" s="4" t="inlineStr"/>
      <c r="G619" s="2">
        <f>IF(AND(E619="Concluída",LEN(TRIM(F619))&gt;0),1,0)</f>
        <v/>
      </c>
      <c r="H619" s="4" t="inlineStr"/>
    </row>
    <row r="620" ht="54" customHeight="1">
      <c r="A620" s="2" t="inlineStr">
        <is>
          <t>E062</t>
        </is>
      </c>
      <c r="B620" s="2" t="inlineStr">
        <is>
          <t>E062.09</t>
        </is>
      </c>
      <c r="C620" s="2" t="inlineStr">
        <is>
          <t>Restringir edição e remanejamento aos papéis autorizados.</t>
        </is>
      </c>
      <c r="D620" s="2" t="inlineStr">
        <is>
          <t>UX, Financeiro e Frontend</t>
        </is>
      </c>
      <c r="E620" s="4" t="inlineStr">
        <is>
          <t>Pendente</t>
        </is>
      </c>
      <c r="F620" s="4" t="inlineStr"/>
      <c r="G620" s="2">
        <f>IF(AND(E620="Concluída",LEN(TRIM(F620))&gt;0),1,0)</f>
        <v/>
      </c>
      <c r="H620" s="4" t="inlineStr"/>
    </row>
    <row r="621" ht="54" customHeight="1">
      <c r="A621" s="2" t="inlineStr">
        <is>
          <t>E062</t>
        </is>
      </c>
      <c r="B621" s="2" t="inlineStr">
        <is>
          <t>E062.10</t>
        </is>
      </c>
      <c r="C621" s="2" t="inlineStr">
        <is>
          <t>Conciliar a interface com lançamentos de exemplo e conferir arredondamentos.</t>
        </is>
      </c>
      <c r="D621" s="2" t="inlineStr">
        <is>
          <t>UX, Financeiro e Frontend</t>
        </is>
      </c>
      <c r="E621" s="4" t="inlineStr">
        <is>
          <t>Pendente</t>
        </is>
      </c>
      <c r="F621" s="4" t="inlineStr"/>
      <c r="G621" s="2">
        <f>IF(AND(E621="Concluída",LEN(TRIM(F621))&gt;0),1,0)</f>
        <v/>
      </c>
      <c r="H621" s="4" t="inlineStr"/>
    </row>
    <row r="622" ht="54" customHeight="1">
      <c r="A622" s="2" t="inlineStr">
        <is>
          <t>E063</t>
        </is>
      </c>
      <c r="B622" s="2" t="inlineStr">
        <is>
          <t>E063.01</t>
        </is>
      </c>
      <c r="C622" s="2" t="inlineStr">
        <is>
          <t>Separar pendências de despesa, arte e exceção conforme responsabilidade.</t>
        </is>
      </c>
      <c r="D622" s="2" t="inlineStr">
        <is>
          <t>UX, Compras e Frontend</t>
        </is>
      </c>
      <c r="E622" s="4" t="inlineStr">
        <is>
          <t>Pendente</t>
        </is>
      </c>
      <c r="F622" s="4" t="inlineStr"/>
      <c r="G622" s="2">
        <f>IF(AND(E622="Concluída",LEN(TRIM(F622))&gt;0),1,0)</f>
        <v/>
      </c>
      <c r="H622" s="4" t="inlineStr"/>
    </row>
    <row r="623" ht="54" customHeight="1">
      <c r="A623" s="2" t="inlineStr">
        <is>
          <t>E063</t>
        </is>
      </c>
      <c r="B623" s="2" t="inlineStr">
        <is>
          <t>E063.02</t>
        </is>
      </c>
      <c r="C623" s="2" t="inlineStr">
        <is>
          <t>Exibir solicitante, unidade, valor, prazo e idade da pendência.</t>
        </is>
      </c>
      <c r="D623" s="2" t="inlineStr">
        <is>
          <t>UX, Compras e Frontend</t>
        </is>
      </c>
      <c r="E623" s="4" t="inlineStr">
        <is>
          <t>Pendente</t>
        </is>
      </c>
      <c r="F623" s="4" t="inlineStr"/>
      <c r="G623" s="2">
        <f>IF(AND(E623="Concluída",LEN(TRIM(F623))&gt;0),1,0)</f>
        <v/>
      </c>
      <c r="H623" s="4" t="inlineStr"/>
    </row>
    <row r="624" ht="54" customHeight="1">
      <c r="A624" s="2" t="inlineStr">
        <is>
          <t>E063</t>
        </is>
      </c>
      <c r="B624" s="2" t="inlineStr">
        <is>
          <t>E063.03</t>
        </is>
      </c>
      <c r="C624" s="2" t="inlineStr">
        <is>
          <t>Oferecer filtros por campanha, cooperativa autorizada e situação.</t>
        </is>
      </c>
      <c r="D624" s="2" t="inlineStr">
        <is>
          <t>UX, Compras e Frontend</t>
        </is>
      </c>
      <c r="E624" s="4" t="inlineStr">
        <is>
          <t>Pendente</t>
        </is>
      </c>
      <c r="F624" s="4" t="inlineStr"/>
      <c r="G624" s="2">
        <f>IF(AND(E624="Concluída",LEN(TRIM(F624))&gt;0),1,0)</f>
        <v/>
      </c>
      <c r="H624" s="4" t="inlineStr"/>
    </row>
    <row r="625" ht="54" customHeight="1">
      <c r="A625" s="2" t="inlineStr">
        <is>
          <t>E063</t>
        </is>
      </c>
      <c r="B625" s="2" t="inlineStr">
        <is>
          <t>E063.04</t>
        </is>
      </c>
      <c r="C625" s="2" t="inlineStr">
        <is>
          <t>Ordenar por prazo ou espera com critério explicitado.</t>
        </is>
      </c>
      <c r="D625" s="2" t="inlineStr">
        <is>
          <t>UX, Compras e Frontend</t>
        </is>
      </c>
      <c r="E625" s="4" t="inlineStr">
        <is>
          <t>Pendente</t>
        </is>
      </c>
      <c r="F625" s="4" t="inlineStr"/>
      <c r="G625" s="2">
        <f>IF(AND(E625="Concluída",LEN(TRIM(F625))&gt;0),1,0)</f>
        <v/>
      </c>
      <c r="H625" s="4" t="inlineStr"/>
    </row>
    <row r="626" ht="54" customHeight="1">
      <c r="A626" s="2" t="inlineStr">
        <is>
          <t>E063</t>
        </is>
      </c>
      <c r="B626" s="2" t="inlineStr">
        <is>
          <t>E063.05</t>
        </is>
      </c>
      <c r="C626" s="2" t="inlineStr">
        <is>
          <t>Mostrar impedimento ou informação faltante antes de decidir.</t>
        </is>
      </c>
      <c r="D626" s="2" t="inlineStr">
        <is>
          <t>UX, Compras e Frontend</t>
        </is>
      </c>
      <c r="E626" s="4" t="inlineStr">
        <is>
          <t>Pendente</t>
        </is>
      </c>
      <c r="F626" s="4" t="inlineStr"/>
      <c r="G626" s="2">
        <f>IF(AND(E626="Concluída",LEN(TRIM(F626))&gt;0),1,0)</f>
        <v/>
      </c>
      <c r="H626" s="4" t="inlineStr"/>
    </row>
    <row r="627" ht="54" customHeight="1">
      <c r="A627" s="2" t="inlineStr">
        <is>
          <t>E063</t>
        </is>
      </c>
      <c r="B627" s="2" t="inlineStr">
        <is>
          <t>E063.06</t>
        </is>
      </c>
      <c r="C627" s="2" t="inlineStr">
        <is>
          <t>Abrir detalhe preservando posição e filtros da fila.</t>
        </is>
      </c>
      <c r="D627" s="2" t="inlineStr">
        <is>
          <t>UX, Compras e Frontend</t>
        </is>
      </c>
      <c r="E627" s="4" t="inlineStr">
        <is>
          <t>Pendente</t>
        </is>
      </c>
      <c r="F627" s="4" t="inlineStr"/>
      <c r="G627" s="2">
        <f>IF(AND(E627="Concluída",LEN(TRIM(F627))&gt;0),1,0)</f>
        <v/>
      </c>
      <c r="H627" s="4" t="inlineStr"/>
    </row>
    <row r="628" ht="54" customHeight="1">
      <c r="A628" s="2" t="inlineStr">
        <is>
          <t>E063</t>
        </is>
      </c>
      <c r="B628" s="2" t="inlineStr">
        <is>
          <t>E063.07</t>
        </is>
      </c>
      <c r="C628" s="2" t="inlineStr">
        <is>
          <t>Indicar solicitação alterada desde a última visualização.</t>
        </is>
      </c>
      <c r="D628" s="2" t="inlineStr">
        <is>
          <t>UX, Compras e Frontend</t>
        </is>
      </c>
      <c r="E628" s="4" t="inlineStr">
        <is>
          <t>Pendente</t>
        </is>
      </c>
      <c r="F628" s="4" t="inlineStr"/>
      <c r="G628" s="2">
        <f>IF(AND(E628="Concluída",LEN(TRIM(F628))&gt;0),1,0)</f>
        <v/>
      </c>
      <c r="H628" s="4" t="inlineStr"/>
    </row>
    <row r="629" ht="54" customHeight="1">
      <c r="A629" s="2" t="inlineStr">
        <is>
          <t>E063</t>
        </is>
      </c>
      <c r="B629" s="2" t="inlineStr">
        <is>
          <t>E063.08</t>
        </is>
      </c>
      <c r="C629" s="2" t="inlineStr">
        <is>
          <t>Evitar seleção em lote para decisões que exigem análise individual distinta.</t>
        </is>
      </c>
      <c r="D629" s="2" t="inlineStr">
        <is>
          <t>UX, Compras e Frontend</t>
        </is>
      </c>
      <c r="E629" s="4" t="inlineStr">
        <is>
          <t>Pendente</t>
        </is>
      </c>
      <c r="F629" s="4" t="inlineStr"/>
      <c r="G629" s="2">
        <f>IF(AND(E629="Concluída",LEN(TRIM(F629))&gt;0),1,0)</f>
        <v/>
      </c>
      <c r="H629" s="4" t="inlineStr"/>
    </row>
    <row r="630" ht="54" customHeight="1">
      <c r="A630" s="2" t="inlineStr">
        <is>
          <t>E063</t>
        </is>
      </c>
      <c r="B630" s="2" t="inlineStr">
        <is>
          <t>E063.09</t>
        </is>
      </c>
      <c r="C630" s="2" t="inlineStr">
        <is>
          <t>Permitir ação em lote somente com validação individual de autorização e resultado.</t>
        </is>
      </c>
      <c r="D630" s="2" t="inlineStr">
        <is>
          <t>UX, Compras e Frontend</t>
        </is>
      </c>
      <c r="E630" s="4" t="inlineStr">
        <is>
          <t>Pendente</t>
        </is>
      </c>
      <c r="F630" s="4" t="inlineStr"/>
      <c r="G630" s="2">
        <f>IF(AND(E630="Concluída",LEN(TRIM(F630))&gt;0),1,0)</f>
        <v/>
      </c>
      <c r="H630" s="4" t="inlineStr"/>
    </row>
    <row r="631" ht="54" customHeight="1">
      <c r="A631" s="2" t="inlineStr">
        <is>
          <t>E063</t>
        </is>
      </c>
      <c r="B631" s="2" t="inlineStr">
        <is>
          <t>E063.10</t>
        </is>
      </c>
      <c r="C631" s="2" t="inlineStr">
        <is>
          <t>Validar triagem de uma fila mista e recuperação de item devolvido.</t>
        </is>
      </c>
      <c r="D631" s="2" t="inlineStr">
        <is>
          <t>UX, Compras e Frontend</t>
        </is>
      </c>
      <c r="E631" s="4" t="inlineStr">
        <is>
          <t>Pendente</t>
        </is>
      </c>
      <c r="F631" s="4" t="inlineStr"/>
      <c r="G631" s="2">
        <f>IF(AND(E631="Concluída",LEN(TRIM(F631))&gt;0),1,0)</f>
        <v/>
      </c>
      <c r="H631" s="4" t="inlineStr"/>
    </row>
    <row r="632" ht="54" customHeight="1">
      <c r="A632" s="2" t="inlineStr">
        <is>
          <t>E064</t>
        </is>
      </c>
      <c r="B632" s="2" t="inlineStr">
        <is>
          <t>E064.01</t>
        </is>
      </c>
      <c r="C632" s="2" t="inlineStr">
        <is>
          <t>Apresentar valor completo, centro de custo e saldo pertinente.</t>
        </is>
      </c>
      <c r="D632" s="2" t="inlineStr">
        <is>
          <t>UX, Backend e Aprovadores</t>
        </is>
      </c>
      <c r="E632" s="4" t="inlineStr">
        <is>
          <t>Pendente</t>
        </is>
      </c>
      <c r="F632" s="4" t="inlineStr"/>
      <c r="G632" s="2">
        <f>IF(AND(E632="Concluída",LEN(TRIM(F632))&gt;0),1,0)</f>
        <v/>
      </c>
      <c r="H632" s="4" t="inlineStr"/>
    </row>
    <row r="633" ht="54" customHeight="1">
      <c r="A633" s="2" t="inlineStr">
        <is>
          <t>E064</t>
        </is>
      </c>
      <c r="B633" s="2" t="inlineStr">
        <is>
          <t>E064.02</t>
        </is>
      </c>
      <c r="C633" s="2" t="inlineStr">
        <is>
          <t>Exibir comparação comercial e justificativa exigidas pela política.</t>
        </is>
      </c>
      <c r="D633" s="2" t="inlineStr">
        <is>
          <t>UX, Backend e Aprovadores</t>
        </is>
      </c>
      <c r="E633" s="4" t="inlineStr">
        <is>
          <t>Pendente</t>
        </is>
      </c>
      <c r="F633" s="4" t="inlineStr"/>
      <c r="G633" s="2">
        <f>IF(AND(E633="Concluída",LEN(TRIM(F633))&gt;0),1,0)</f>
        <v/>
      </c>
      <c r="H633" s="4" t="inlineStr"/>
    </row>
    <row r="634" ht="54" customHeight="1">
      <c r="A634" s="2" t="inlineStr">
        <is>
          <t>E064</t>
        </is>
      </c>
      <c r="B634" s="2" t="inlineStr">
        <is>
          <t>E064.03</t>
        </is>
      </c>
      <c r="C634" s="2" t="inlineStr">
        <is>
          <t>Mostrar versão da proposta, validade e condições de pagamento.</t>
        </is>
      </c>
      <c r="D634" s="2" t="inlineStr">
        <is>
          <t>UX, Backend e Aprovadores</t>
        </is>
      </c>
      <c r="E634" s="4" t="inlineStr">
        <is>
          <t>Pendente</t>
        </is>
      </c>
      <c r="F634" s="4" t="inlineStr"/>
      <c r="G634" s="2">
        <f>IF(AND(E634="Concluída",LEN(TRIM(F634))&gt;0),1,0)</f>
        <v/>
      </c>
      <c r="H634" s="4" t="inlineStr"/>
    </row>
    <row r="635" ht="54" customHeight="1">
      <c r="A635" s="2" t="inlineStr">
        <is>
          <t>E064</t>
        </is>
      </c>
      <c r="B635" s="2" t="inlineStr">
        <is>
          <t>E064.04</t>
        </is>
      </c>
      <c r="C635" s="2" t="inlineStr">
        <is>
          <t>Informar o efeito de aprovar sobre compromisso e saldo.</t>
        </is>
      </c>
      <c r="D635" s="2" t="inlineStr">
        <is>
          <t>UX, Backend e Aprovadores</t>
        </is>
      </c>
      <c r="E635" s="4" t="inlineStr">
        <is>
          <t>Pendente</t>
        </is>
      </c>
      <c r="F635" s="4" t="inlineStr"/>
      <c r="G635" s="2">
        <f>IF(AND(E635="Concluída",LEN(TRIM(F635))&gt;0),1,0)</f>
        <v/>
      </c>
      <c r="H635" s="4" t="inlineStr"/>
    </row>
    <row r="636" ht="54" customHeight="1">
      <c r="A636" s="2" t="inlineStr">
        <is>
          <t>E064</t>
        </is>
      </c>
      <c r="B636" s="2" t="inlineStr">
        <is>
          <t>E064.05</t>
        </is>
      </c>
      <c r="C636" s="2" t="inlineStr">
        <is>
          <t>Disponibilizar aprovação, rejeição e devolução com finalidades distintas.</t>
        </is>
      </c>
      <c r="D636" s="2" t="inlineStr">
        <is>
          <t>UX, Backend e Aprovadores</t>
        </is>
      </c>
      <c r="E636" s="4" t="inlineStr">
        <is>
          <t>Pendente</t>
        </is>
      </c>
      <c r="F636" s="4" t="inlineStr"/>
      <c r="G636" s="2">
        <f>IF(AND(E636="Concluída",LEN(TRIM(F636))&gt;0),1,0)</f>
        <v/>
      </c>
      <c r="H636" s="4" t="inlineStr"/>
    </row>
    <row r="637" ht="54" customHeight="1">
      <c r="A637" s="2" t="inlineStr">
        <is>
          <t>E064</t>
        </is>
      </c>
      <c r="B637" s="2" t="inlineStr">
        <is>
          <t>E064.06</t>
        </is>
      </c>
      <c r="C637" s="2" t="inlineStr">
        <is>
          <t>Solicitar motivo de rejeição ou exceção quando aplicável.</t>
        </is>
      </c>
      <c r="D637" s="2" t="inlineStr">
        <is>
          <t>UX, Backend e Aprovadores</t>
        </is>
      </c>
      <c r="E637" s="4" t="inlineStr">
        <is>
          <t>Pendente</t>
        </is>
      </c>
      <c r="F637" s="4" t="inlineStr"/>
      <c r="G637" s="2">
        <f>IF(AND(E637="Concluída",LEN(TRIM(F637))&gt;0),1,0)</f>
        <v/>
      </c>
      <c r="H637" s="4" t="inlineStr"/>
    </row>
    <row r="638" ht="54" customHeight="1">
      <c r="A638" s="2" t="inlineStr">
        <is>
          <t>E064</t>
        </is>
      </c>
      <c r="B638" s="2" t="inlineStr">
        <is>
          <t>E064.07</t>
        </is>
      </c>
      <c r="C638" s="2" t="inlineStr">
        <is>
          <t>Validar autoridade, impedimento e versão no servidor ao confirmar.</t>
        </is>
      </c>
      <c r="D638" s="2" t="inlineStr">
        <is>
          <t>UX, Backend e Aprovadores</t>
        </is>
      </c>
      <c r="E638" s="4" t="inlineStr">
        <is>
          <t>Pendente</t>
        </is>
      </c>
      <c r="F638" s="4" t="inlineStr"/>
      <c r="G638" s="2">
        <f>IF(AND(E638="Concluída",LEN(TRIM(F638))&gt;0),1,0)</f>
        <v/>
      </c>
      <c r="H638" s="4" t="inlineStr"/>
    </row>
    <row r="639" ht="54" customHeight="1">
      <c r="A639" s="2" t="inlineStr">
        <is>
          <t>E064</t>
        </is>
      </c>
      <c r="B639" s="2" t="inlineStr">
        <is>
          <t>E064.08</t>
        </is>
      </c>
      <c r="C639" s="2" t="inlineStr">
        <is>
          <t>Tratar decisão concorrente com mensagem e atualização do detalhe.</t>
        </is>
      </c>
      <c r="D639" s="2" t="inlineStr">
        <is>
          <t>UX, Backend e Aprovadores</t>
        </is>
      </c>
      <c r="E639" s="4" t="inlineStr">
        <is>
          <t>Pendente</t>
        </is>
      </c>
      <c r="F639" s="4" t="inlineStr"/>
      <c r="G639" s="2">
        <f>IF(AND(E639="Concluída",LEN(TRIM(F639))&gt;0),1,0)</f>
        <v/>
      </c>
      <c r="H639" s="4" t="inlineStr"/>
    </row>
    <row r="640" ht="54" customHeight="1">
      <c r="A640" s="2" t="inlineStr">
        <is>
          <t>E064</t>
        </is>
      </c>
      <c r="B640" s="2" t="inlineStr">
        <is>
          <t>E064.09</t>
        </is>
      </c>
      <c r="C640" s="2" t="inlineStr">
        <is>
          <t>Registrar resultado confirmado e notificar os responsáveis corretos.</t>
        </is>
      </c>
      <c r="D640" s="2" t="inlineStr">
        <is>
          <t>UX, Backend e Aprovadores</t>
        </is>
      </c>
      <c r="E640" s="4" t="inlineStr">
        <is>
          <t>Pendente</t>
        </is>
      </c>
      <c r="F640" s="4" t="inlineStr"/>
      <c r="G640" s="2">
        <f>IF(AND(E640="Concluída",LEN(TRIM(F640))&gt;0),1,0)</f>
        <v/>
      </c>
      <c r="H640" s="4" t="inlineStr"/>
    </row>
    <row r="641" ht="54" customHeight="1">
      <c r="A641" s="2" t="inlineStr">
        <is>
          <t>E064</t>
        </is>
      </c>
      <c r="B641" s="2" t="inlineStr">
        <is>
          <t>E064.10</t>
        </is>
      </c>
      <c r="C641" s="2" t="inlineStr">
        <is>
          <t>Testar negação por falta de alçada e aprovação idempotente com verba conciliada.</t>
        </is>
      </c>
      <c r="D641" s="2" t="inlineStr">
        <is>
          <t>UX, Backend e Aprovadores</t>
        </is>
      </c>
      <c r="E641" s="4" t="inlineStr">
        <is>
          <t>Pendente</t>
        </is>
      </c>
      <c r="F641" s="4" t="inlineStr"/>
      <c r="G641" s="2">
        <f>IF(AND(E641="Concluída",LEN(TRIM(F641))&gt;0),1,0)</f>
        <v/>
      </c>
      <c r="H641" s="4" t="inlineStr"/>
    </row>
    <row r="642" ht="54" customHeight="1">
      <c r="A642" s="2" t="inlineStr">
        <is>
          <t>E065</t>
        </is>
      </c>
      <c r="B642" s="2" t="inlineStr">
        <is>
          <t>E065.01</t>
        </is>
      </c>
      <c r="C642" s="2" t="inlineStr">
        <is>
          <t>Exibir produto, técnica, posição e dimensão junto à prova.</t>
        </is>
      </c>
      <c r="D642" s="2" t="inlineStr">
        <is>
          <t>Marketing, Produção e UX</t>
        </is>
      </c>
      <c r="E642" s="4" t="inlineStr">
        <is>
          <t>Pendente</t>
        </is>
      </c>
      <c r="F642" s="4" t="inlineStr"/>
      <c r="G642" s="2">
        <f>IF(AND(E642="Concluída",LEN(TRIM(F642))&gt;0),1,0)</f>
        <v/>
      </c>
      <c r="H642" s="4" t="inlineStr"/>
    </row>
    <row r="643" ht="54" customHeight="1">
      <c r="A643" s="2" t="inlineStr">
        <is>
          <t>E065</t>
        </is>
      </c>
      <c r="B643" s="2" t="inlineStr">
        <is>
          <t>E065.02</t>
        </is>
      </c>
      <c r="C643" s="2" t="inlineStr">
        <is>
          <t>Identificar versão, autor e data do arquivo em revisão.</t>
        </is>
      </c>
      <c r="D643" s="2" t="inlineStr">
        <is>
          <t>Marketing, Produção e UX</t>
        </is>
      </c>
      <c r="E643" s="4" t="inlineStr">
        <is>
          <t>Pendente</t>
        </is>
      </c>
      <c r="F643" s="4" t="inlineStr"/>
      <c r="G643" s="2">
        <f>IF(AND(E643="Concluída",LEN(TRIM(F643))&gt;0),1,0)</f>
        <v/>
      </c>
      <c r="H643" s="4" t="inlineStr"/>
    </row>
    <row r="644" ht="54" customHeight="1">
      <c r="A644" s="2" t="inlineStr">
        <is>
          <t>E065</t>
        </is>
      </c>
      <c r="B644" s="2" t="inlineStr">
        <is>
          <t>E065.03</t>
        </is>
      </c>
      <c r="C644" s="2" t="inlineStr">
        <is>
          <t>Permitir inspeção ampliada sem substituir a descrição técnica acessível.</t>
        </is>
      </c>
      <c r="D644" s="2" t="inlineStr">
        <is>
          <t>Marketing, Produção e UX</t>
        </is>
      </c>
      <c r="E644" s="4" t="inlineStr">
        <is>
          <t>Pendente</t>
        </is>
      </c>
      <c r="F644" s="4" t="inlineStr"/>
      <c r="G644" s="2">
        <f>IF(AND(E644="Concluída",LEN(TRIM(F644))&gt;0),1,0)</f>
        <v/>
      </c>
      <c r="H644" s="4" t="inlineStr"/>
    </row>
    <row r="645" ht="54" customHeight="1">
      <c r="A645" s="2" t="inlineStr">
        <is>
          <t>E065</t>
        </is>
      </c>
      <c r="B645" s="2" t="inlineStr">
        <is>
          <t>E065.04</t>
        </is>
      </c>
      <c r="C645" s="2" t="inlineStr">
        <is>
          <t>Separar comentário de pedido formal de revisão.</t>
        </is>
      </c>
      <c r="D645" s="2" t="inlineStr">
        <is>
          <t>Marketing, Produção e UX</t>
        </is>
      </c>
      <c r="E645" s="4" t="inlineStr">
        <is>
          <t>Pendente</t>
        </is>
      </c>
      <c r="F645" s="4" t="inlineStr"/>
      <c r="G645" s="2">
        <f>IF(AND(E645="Concluída",LEN(TRIM(F645))&gt;0),1,0)</f>
        <v/>
      </c>
      <c r="H645" s="4" t="inlineStr"/>
    </row>
    <row r="646" ht="54" customHeight="1">
      <c r="A646" s="2" t="inlineStr">
        <is>
          <t>E065</t>
        </is>
      </c>
      <c r="B646" s="2" t="inlineStr">
        <is>
          <t>E065.05</t>
        </is>
      </c>
      <c r="C646" s="2" t="inlineStr">
        <is>
          <t>Mostrar diferenças quando uma nova arte substituir a anterior.</t>
        </is>
      </c>
      <c r="D646" s="2" t="inlineStr">
        <is>
          <t>Marketing, Produção e UX</t>
        </is>
      </c>
      <c r="E646" s="4" t="inlineStr">
        <is>
          <t>Pendente</t>
        </is>
      </c>
      <c r="F646" s="4" t="inlineStr"/>
      <c r="G646" s="2">
        <f>IF(AND(E646="Concluída",LEN(TRIM(F646))&gt;0),1,0)</f>
        <v/>
      </c>
      <c r="H646" s="4" t="inlineStr"/>
    </row>
    <row r="647" ht="54" customHeight="1">
      <c r="A647" s="2" t="inlineStr">
        <is>
          <t>E065</t>
        </is>
      </c>
      <c r="B647" s="2" t="inlineStr">
        <is>
          <t>E065.06</t>
        </is>
      </c>
      <c r="C647" s="2" t="inlineStr">
        <is>
          <t>Exigir confirmação da especificação efetivamente aprovada para produção.</t>
        </is>
      </c>
      <c r="D647" s="2" t="inlineStr">
        <is>
          <t>Marketing, Produção e UX</t>
        </is>
      </c>
      <c r="E647" s="4" t="inlineStr">
        <is>
          <t>Pendente</t>
        </is>
      </c>
      <c r="F647" s="4" t="inlineStr"/>
      <c r="G647" s="2">
        <f>IF(AND(E647="Concluída",LEN(TRIM(F647))&gt;0),1,0)</f>
        <v/>
      </c>
      <c r="H647" s="4" t="inlineStr"/>
    </row>
    <row r="648" ht="54" customHeight="1">
      <c r="A648" s="2" t="inlineStr">
        <is>
          <t>E065</t>
        </is>
      </c>
      <c r="B648" s="2" t="inlineStr">
        <is>
          <t>E065.07</t>
        </is>
      </c>
      <c r="C648" s="2" t="inlineStr">
        <is>
          <t>Validar poder de aprovação de marca no escopo da cooperativa.</t>
        </is>
      </c>
      <c r="D648" s="2" t="inlineStr">
        <is>
          <t>Marketing, Produção e UX</t>
        </is>
      </c>
      <c r="E648" s="4" t="inlineStr">
        <is>
          <t>Pendente</t>
        </is>
      </c>
      <c r="F648" s="4" t="inlineStr"/>
      <c r="G648" s="2">
        <f>IF(AND(E648="Concluída",LEN(TRIM(F648))&gt;0),1,0)</f>
        <v/>
      </c>
      <c r="H648" s="4" t="inlineStr"/>
    </row>
    <row r="649" ht="54" customHeight="1">
      <c r="A649" s="2" t="inlineStr">
        <is>
          <t>E065</t>
        </is>
      </c>
      <c r="B649" s="2" t="inlineStr">
        <is>
          <t>E065.08</t>
        </is>
      </c>
      <c r="C649" s="2" t="inlineStr">
        <is>
          <t>Registrar aceite ou rejeição com identidade, data e versão.</t>
        </is>
      </c>
      <c r="D649" s="2" t="inlineStr">
        <is>
          <t>Marketing, Produção e UX</t>
        </is>
      </c>
      <c r="E649" s="4" t="inlineStr">
        <is>
          <t>Pendente</t>
        </is>
      </c>
      <c r="F649" s="4" t="inlineStr"/>
      <c r="G649" s="2">
        <f>IF(AND(E649="Concluída",LEN(TRIM(F649))&gt;0),1,0)</f>
        <v/>
      </c>
      <c r="H649" s="4" t="inlineStr"/>
    </row>
    <row r="650" ht="54" customHeight="1">
      <c r="A650" s="2" t="inlineStr">
        <is>
          <t>E065</t>
        </is>
      </c>
      <c r="B650" s="2" t="inlineStr">
        <is>
          <t>E065.09</t>
        </is>
      </c>
      <c r="C650" s="2" t="inlineStr">
        <is>
          <t>Impedir liberação de produção com arte alterada após o aceite.</t>
        </is>
      </c>
      <c r="D650" s="2" t="inlineStr">
        <is>
          <t>Marketing, Produção e UX</t>
        </is>
      </c>
      <c r="E650" s="4" t="inlineStr">
        <is>
          <t>Pendente</t>
        </is>
      </c>
      <c r="F650" s="4" t="inlineStr"/>
      <c r="G650" s="2">
        <f>IF(AND(E650="Concluída",LEN(TRIM(F650))&gt;0),1,0)</f>
        <v/>
      </c>
      <c r="H650" s="4" t="inlineStr"/>
    </row>
    <row r="651" ht="54" customHeight="1">
      <c r="A651" s="2" t="inlineStr">
        <is>
          <t>E065</t>
        </is>
      </c>
      <c r="B651" s="2" t="inlineStr">
        <is>
          <t>E065.10</t>
        </is>
      </c>
      <c r="C651" s="2" t="inlineStr">
        <is>
          <t>Validar revisão, nova prova e aprovação com equipe de marketing e produção.</t>
        </is>
      </c>
      <c r="D651" s="2" t="inlineStr">
        <is>
          <t>Marketing, Produção e UX</t>
        </is>
      </c>
      <c r="E651" s="4" t="inlineStr">
        <is>
          <t>Pendente</t>
        </is>
      </c>
      <c r="F651" s="4" t="inlineStr"/>
      <c r="G651" s="2">
        <f>IF(AND(E651="Concluída",LEN(TRIM(F651))&gt;0),1,0)</f>
        <v/>
      </c>
      <c r="H651" s="4" t="inlineStr"/>
    </row>
    <row r="652" ht="54" customHeight="1">
      <c r="A652" s="2" t="inlineStr">
        <is>
          <t>E066</t>
        </is>
      </c>
      <c r="B652" s="2" t="inlineStr">
        <is>
          <t>E066.01</t>
        </is>
      </c>
      <c r="C652" s="2" t="inlineStr">
        <is>
          <t>Classificar exceções de verba, prazo, quantidade e cotação previstas na política.</t>
        </is>
      </c>
      <c r="D652" s="2" t="inlineStr">
        <is>
          <t>Produto, Compras e UX</t>
        </is>
      </c>
      <c r="E652" s="4" t="inlineStr">
        <is>
          <t>Pendente</t>
        </is>
      </c>
      <c r="F652" s="4" t="inlineStr"/>
      <c r="G652" s="2">
        <f>IF(AND(E652="Concluída",LEN(TRIM(F652))&gt;0),1,0)</f>
        <v/>
      </c>
      <c r="H652" s="4" t="inlineStr"/>
    </row>
    <row r="653" ht="54" customHeight="1">
      <c r="A653" s="2" t="inlineStr">
        <is>
          <t>E066</t>
        </is>
      </c>
      <c r="B653" s="2" t="inlineStr">
        <is>
          <t>E066.02</t>
        </is>
      </c>
      <c r="C653" s="2" t="inlineStr">
        <is>
          <t>Definir quem pode solicitar e quem pode decidir cada exceção.</t>
        </is>
      </c>
      <c r="D653" s="2" t="inlineStr">
        <is>
          <t>Produto, Compras e UX</t>
        </is>
      </c>
      <c r="E653" s="4" t="inlineStr">
        <is>
          <t>Pendente</t>
        </is>
      </c>
      <c r="F653" s="4" t="inlineStr"/>
      <c r="G653" s="2">
        <f>IF(AND(E653="Concluída",LEN(TRIM(F653))&gt;0),1,0)</f>
        <v/>
      </c>
      <c r="H653" s="4" t="inlineStr"/>
    </row>
    <row r="654" ht="54" customHeight="1">
      <c r="A654" s="2" t="inlineStr">
        <is>
          <t>E066</t>
        </is>
      </c>
      <c r="B654" s="2" t="inlineStr">
        <is>
          <t>E066.03</t>
        </is>
      </c>
      <c r="C654" s="2" t="inlineStr">
        <is>
          <t>Exibir a regra original e o motivo da solicitação excepcional.</t>
        </is>
      </c>
      <c r="D654" s="2" t="inlineStr">
        <is>
          <t>Produto, Compras e UX</t>
        </is>
      </c>
      <c r="E654" s="4" t="inlineStr">
        <is>
          <t>Pendente</t>
        </is>
      </c>
      <c r="F654" s="4" t="inlineStr"/>
      <c r="G654" s="2">
        <f>IF(AND(E654="Concluída",LEN(TRIM(F654))&gt;0),1,0)</f>
        <v/>
      </c>
      <c r="H654" s="4" t="inlineStr"/>
    </row>
    <row r="655" ht="54" customHeight="1">
      <c r="A655" s="2" t="inlineStr">
        <is>
          <t>E066</t>
        </is>
      </c>
      <c r="B655" s="2" t="inlineStr">
        <is>
          <t>E066.04</t>
        </is>
      </c>
      <c r="C655" s="2" t="inlineStr">
        <is>
          <t>Solicitar evidências comerciais necessárias à análise.</t>
        </is>
      </c>
      <c r="D655" s="2" t="inlineStr">
        <is>
          <t>Produto, Compras e UX</t>
        </is>
      </c>
      <c r="E655" s="4" t="inlineStr">
        <is>
          <t>Pendente</t>
        </is>
      </c>
      <c r="F655" s="4" t="inlineStr"/>
      <c r="G655" s="2">
        <f>IF(AND(E655="Concluída",LEN(TRIM(F655))&gt;0),1,0)</f>
        <v/>
      </c>
      <c r="H655" s="4" t="inlineStr"/>
    </row>
    <row r="656" ht="54" customHeight="1">
      <c r="A656" s="2" t="inlineStr">
        <is>
          <t>E066</t>
        </is>
      </c>
      <c r="B656" s="2" t="inlineStr">
        <is>
          <t>E066.05</t>
        </is>
      </c>
      <c r="C656" s="2" t="inlineStr">
        <is>
          <t>Impedir que o solicitante aprove sua exceção quando houver impedimento.</t>
        </is>
      </c>
      <c r="D656" s="2" t="inlineStr">
        <is>
          <t>Produto, Compras e UX</t>
        </is>
      </c>
      <c r="E656" s="4" t="inlineStr">
        <is>
          <t>Pendente</t>
        </is>
      </c>
      <c r="F656" s="4" t="inlineStr"/>
      <c r="G656" s="2">
        <f>IF(AND(E656="Concluída",LEN(TRIM(F656))&gt;0),1,0)</f>
        <v/>
      </c>
      <c r="H656" s="4" t="inlineStr"/>
    </row>
    <row r="657" ht="54" customHeight="1">
      <c r="A657" s="2" t="inlineStr">
        <is>
          <t>E066</t>
        </is>
      </c>
      <c r="B657" s="2" t="inlineStr">
        <is>
          <t>E066.06</t>
        </is>
      </c>
      <c r="C657" s="2" t="inlineStr">
        <is>
          <t>Registrar limites e validade da autorização excepcional.</t>
        </is>
      </c>
      <c r="D657" s="2" t="inlineStr">
        <is>
          <t>Produto, Compras e UX</t>
        </is>
      </c>
      <c r="E657" s="4" t="inlineStr">
        <is>
          <t>Pendente</t>
        </is>
      </c>
      <c r="F657" s="4" t="inlineStr"/>
      <c r="G657" s="2">
        <f>IF(AND(E657="Concluída",LEN(TRIM(F657))&gt;0),1,0)</f>
        <v/>
      </c>
      <c r="H657" s="4" t="inlineStr"/>
    </row>
    <row r="658" ht="54" customHeight="1">
      <c r="A658" s="2" t="inlineStr">
        <is>
          <t>E066</t>
        </is>
      </c>
      <c r="B658" s="2" t="inlineStr">
        <is>
          <t>E066.07</t>
        </is>
      </c>
      <c r="C658" s="2" t="inlineStr">
        <is>
          <t>Recalcular aprovações quando a exceção alterar custo ou condições.</t>
        </is>
      </c>
      <c r="D658" s="2" t="inlineStr">
        <is>
          <t>Produto, Compras e UX</t>
        </is>
      </c>
      <c r="E658" s="4" t="inlineStr">
        <is>
          <t>Pendente</t>
        </is>
      </c>
      <c r="F658" s="4" t="inlineStr"/>
      <c r="G658" s="2">
        <f>IF(AND(E658="Concluída",LEN(TRIM(F658))&gt;0),1,0)</f>
        <v/>
      </c>
      <c r="H658" s="4" t="inlineStr"/>
    </row>
    <row r="659" ht="54" customHeight="1">
      <c r="A659" s="2" t="inlineStr">
        <is>
          <t>E066</t>
        </is>
      </c>
      <c r="B659" s="2" t="inlineStr">
        <is>
          <t>E066.08</t>
        </is>
      </c>
      <c r="C659" s="2" t="inlineStr">
        <is>
          <t>Mostrar o resultado no histórico sem rotular regra descumprida como normal.</t>
        </is>
      </c>
      <c r="D659" s="2" t="inlineStr">
        <is>
          <t>Produto, Compras e UX</t>
        </is>
      </c>
      <c r="E659" s="4" t="inlineStr">
        <is>
          <t>Pendente</t>
        </is>
      </c>
      <c r="F659" s="4" t="inlineStr"/>
      <c r="G659" s="2">
        <f>IF(AND(E659="Concluída",LEN(TRIM(F659))&gt;0),1,0)</f>
        <v/>
      </c>
      <c r="H659" s="4" t="inlineStr"/>
    </row>
    <row r="660" ht="54" customHeight="1">
      <c r="A660" s="2" t="inlineStr">
        <is>
          <t>E066</t>
        </is>
      </c>
      <c r="B660" s="2" t="inlineStr">
        <is>
          <t>E066.09</t>
        </is>
      </c>
      <c r="C660" s="2" t="inlineStr">
        <is>
          <t>Preservar controles de segurança independentemente de exceção comercial.</t>
        </is>
      </c>
      <c r="D660" s="2" t="inlineStr">
        <is>
          <t>Produto, Compras e UX</t>
        </is>
      </c>
      <c r="E660" s="4" t="inlineStr">
        <is>
          <t>Pendente</t>
        </is>
      </c>
      <c r="F660" s="4" t="inlineStr"/>
      <c r="G660" s="2">
        <f>IF(AND(E660="Concluída",LEN(TRIM(F660))&gt;0),1,0)</f>
        <v/>
      </c>
      <c r="H660" s="4" t="inlineStr"/>
    </row>
    <row r="661" ht="54" customHeight="1">
      <c r="A661" s="2" t="inlineStr">
        <is>
          <t>E066</t>
        </is>
      </c>
      <c r="B661" s="2" t="inlineStr">
        <is>
          <t>E066.10</t>
        </is>
      </c>
      <c r="C661" s="2" t="inlineStr">
        <is>
          <t>Testar autorização válida, rejeição e tentativa de usar exceção expirada.</t>
        </is>
      </c>
      <c r="D661" s="2" t="inlineStr">
        <is>
          <t>Produto, Compras e UX</t>
        </is>
      </c>
      <c r="E661" s="4" t="inlineStr">
        <is>
          <t>Pendente</t>
        </is>
      </c>
      <c r="F661" s="4" t="inlineStr"/>
      <c r="G661" s="2">
        <f>IF(AND(E661="Concluída",LEN(TRIM(F661))&gt;0),1,0)</f>
        <v/>
      </c>
      <c r="H661" s="4" t="inlineStr"/>
    </row>
    <row r="662" ht="54" customHeight="1">
      <c r="A662" s="2" t="inlineStr">
        <is>
          <t>E067</t>
        </is>
      </c>
      <c r="B662" s="2" t="inlineStr">
        <is>
          <t>E067.01</t>
        </is>
      </c>
      <c r="C662" s="2" t="inlineStr">
        <is>
          <t>Identificar necessidades reais de substituição durante ausências.</t>
        </is>
      </c>
      <c r="D662" s="2" t="inlineStr">
        <is>
          <t>Segurança, Compras e UX</t>
        </is>
      </c>
      <c r="E662" s="4" t="inlineStr">
        <is>
          <t>Pendente</t>
        </is>
      </c>
      <c r="F662" s="4" t="inlineStr"/>
      <c r="G662" s="2">
        <f>IF(AND(E662="Concluída",LEN(TRIM(F662))&gt;0),1,0)</f>
        <v/>
      </c>
      <c r="H662" s="4" t="inlineStr"/>
    </row>
    <row r="663" ht="54" customHeight="1">
      <c r="A663" s="2" t="inlineStr">
        <is>
          <t>E067</t>
        </is>
      </c>
      <c r="B663" s="2" t="inlineStr">
        <is>
          <t>E067.02</t>
        </is>
      </c>
      <c r="C663" s="2" t="inlineStr">
        <is>
          <t>Definir quais competências a política permite delegar.</t>
        </is>
      </c>
      <c r="D663" s="2" t="inlineStr">
        <is>
          <t>Segurança, Compras e UX</t>
        </is>
      </c>
      <c r="E663" s="4" t="inlineStr">
        <is>
          <t>Pendente</t>
        </is>
      </c>
      <c r="F663" s="4" t="inlineStr"/>
      <c r="G663" s="2">
        <f>IF(AND(E663="Concluída",LEN(TRIM(F663))&gt;0),1,0)</f>
        <v/>
      </c>
      <c r="H663" s="4" t="inlineStr"/>
    </row>
    <row r="664" ht="54" customHeight="1">
      <c r="A664" s="2" t="inlineStr">
        <is>
          <t>E067</t>
        </is>
      </c>
      <c r="B664" s="2" t="inlineStr">
        <is>
          <t>E067.03</t>
        </is>
      </c>
      <c r="C664" s="2" t="inlineStr">
        <is>
          <t>Exigir autoridade para conceder a delegação proposta.</t>
        </is>
      </c>
      <c r="D664" s="2" t="inlineStr">
        <is>
          <t>Segurança, Compras e UX</t>
        </is>
      </c>
      <c r="E664" s="4" t="inlineStr">
        <is>
          <t>Pendente</t>
        </is>
      </c>
      <c r="F664" s="4" t="inlineStr"/>
      <c r="G664" s="2">
        <f>IF(AND(E664="Concluída",LEN(TRIM(F664))&gt;0),1,0)</f>
        <v/>
      </c>
      <c r="H664" s="4" t="inlineStr"/>
    </row>
    <row r="665" ht="54" customHeight="1">
      <c r="A665" s="2" t="inlineStr">
        <is>
          <t>E067</t>
        </is>
      </c>
      <c r="B665" s="2" t="inlineStr">
        <is>
          <t>E067.04</t>
        </is>
      </c>
      <c r="C665" s="2" t="inlineStr">
        <is>
          <t>Registrar substituto, unidade, competência, início e término.</t>
        </is>
      </c>
      <c r="D665" s="2" t="inlineStr">
        <is>
          <t>Segurança, Compras e UX</t>
        </is>
      </c>
      <c r="E665" s="4" t="inlineStr">
        <is>
          <t>Pendente</t>
        </is>
      </c>
      <c r="F665" s="4" t="inlineStr"/>
      <c r="G665" s="2">
        <f>IF(AND(E665="Concluída",LEN(TRIM(F665))&gt;0),1,0)</f>
        <v/>
      </c>
      <c r="H665" s="4" t="inlineStr"/>
    </row>
    <row r="666" ht="54" customHeight="1">
      <c r="A666" s="2" t="inlineStr">
        <is>
          <t>E067</t>
        </is>
      </c>
      <c r="B666" s="2" t="inlineStr">
        <is>
          <t>E067.05</t>
        </is>
      </c>
      <c r="C666" s="2" t="inlineStr">
        <is>
          <t>Impedir concessão de poderes superiores aos permitidos ao delegante.</t>
        </is>
      </c>
      <c r="D666" s="2" t="inlineStr">
        <is>
          <t>Segurança, Compras e UX</t>
        </is>
      </c>
      <c r="E666" s="4" t="inlineStr">
        <is>
          <t>Pendente</t>
        </is>
      </c>
      <c r="F666" s="4" t="inlineStr"/>
      <c r="G666" s="2">
        <f>IF(AND(E666="Concluída",LEN(TRIM(F666))&gt;0),1,0)</f>
        <v/>
      </c>
      <c r="H666" s="4" t="inlineStr"/>
    </row>
    <row r="667" ht="54" customHeight="1">
      <c r="A667" s="2" t="inlineStr">
        <is>
          <t>E067</t>
        </is>
      </c>
      <c r="B667" s="2" t="inlineStr">
        <is>
          <t>E067.06</t>
        </is>
      </c>
      <c r="C667" s="2" t="inlineStr">
        <is>
          <t>Tratar conflitos de interesse e autoaprovação no substituto.</t>
        </is>
      </c>
      <c r="D667" s="2" t="inlineStr">
        <is>
          <t>Segurança, Compras e UX</t>
        </is>
      </c>
      <c r="E667" s="4" t="inlineStr">
        <is>
          <t>Pendente</t>
        </is>
      </c>
      <c r="F667" s="4" t="inlineStr"/>
      <c r="G667" s="2">
        <f>IF(AND(E667="Concluída",LEN(TRIM(F667))&gt;0),1,0)</f>
        <v/>
      </c>
      <c r="H667" s="4" t="inlineStr"/>
    </row>
    <row r="668" ht="54" customHeight="1">
      <c r="A668" s="2" t="inlineStr">
        <is>
          <t>E067</t>
        </is>
      </c>
      <c r="B668" s="2" t="inlineStr">
        <is>
          <t>E067.07</t>
        </is>
      </c>
      <c r="C668" s="2" t="inlineStr">
        <is>
          <t>Mostrar claramente quando uma ação usa poder delegado.</t>
        </is>
      </c>
      <c r="D668" s="2" t="inlineStr">
        <is>
          <t>Segurança, Compras e UX</t>
        </is>
      </c>
      <c r="E668" s="4" t="inlineStr">
        <is>
          <t>Pendente</t>
        </is>
      </c>
      <c r="F668" s="4" t="inlineStr"/>
      <c r="G668" s="2">
        <f>IF(AND(E668="Concluída",LEN(TRIM(F668))&gt;0),1,0)</f>
        <v/>
      </c>
      <c r="H668" s="4" t="inlineStr"/>
    </row>
    <row r="669" ht="54" customHeight="1">
      <c r="A669" s="2" t="inlineStr">
        <is>
          <t>E067</t>
        </is>
      </c>
      <c r="B669" s="2" t="inlineStr">
        <is>
          <t>E067.08</t>
        </is>
      </c>
      <c r="C669" s="2" t="inlineStr">
        <is>
          <t>Expirar e revogar delegações sem depender de alteração manual de interface.</t>
        </is>
      </c>
      <c r="D669" s="2" t="inlineStr">
        <is>
          <t>Segurança, Compras e UX</t>
        </is>
      </c>
      <c r="E669" s="4" t="inlineStr">
        <is>
          <t>Pendente</t>
        </is>
      </c>
      <c r="F669" s="4" t="inlineStr"/>
      <c r="G669" s="2">
        <f>IF(AND(E669="Concluída",LEN(TRIM(F669))&gt;0),1,0)</f>
        <v/>
      </c>
      <c r="H669" s="4" t="inlineStr"/>
    </row>
    <row r="670" ht="54" customHeight="1">
      <c r="A670" s="2" t="inlineStr">
        <is>
          <t>E067</t>
        </is>
      </c>
      <c r="B670" s="2" t="inlineStr">
        <is>
          <t>E067.09</t>
        </is>
      </c>
      <c r="C670" s="2" t="inlineStr">
        <is>
          <t>Registrar ator real e origem da competência na auditoria.</t>
        </is>
      </c>
      <c r="D670" s="2" t="inlineStr">
        <is>
          <t>Segurança, Compras e UX</t>
        </is>
      </c>
      <c r="E670" s="4" t="inlineStr">
        <is>
          <t>Pendente</t>
        </is>
      </c>
      <c r="F670" s="4" t="inlineStr"/>
      <c r="G670" s="2">
        <f>IF(AND(E670="Concluída",LEN(TRIM(F670))&gt;0),1,0)</f>
        <v/>
      </c>
      <c r="H670" s="4" t="inlineStr"/>
    </row>
    <row r="671" ht="54" customHeight="1">
      <c r="A671" s="2" t="inlineStr">
        <is>
          <t>E067</t>
        </is>
      </c>
      <c r="B671" s="2" t="inlineStr">
        <is>
          <t>E067.10</t>
        </is>
      </c>
      <c r="C671" s="2" t="inlineStr">
        <is>
          <t>Validar uso permitido, tentativa fora do escopo e expiração durante sessão ativa.</t>
        </is>
      </c>
      <c r="D671" s="2" t="inlineStr">
        <is>
          <t>Segurança, Compras e UX</t>
        </is>
      </c>
      <c r="E671" s="4" t="inlineStr">
        <is>
          <t>Pendente</t>
        </is>
      </c>
      <c r="F671" s="4" t="inlineStr"/>
      <c r="G671" s="2">
        <f>IF(AND(E671="Concluída",LEN(TRIM(F671))&gt;0),1,0)</f>
        <v/>
      </c>
      <c r="H671" s="4" t="inlineStr"/>
    </row>
    <row r="672" ht="54" customHeight="1">
      <c r="A672" s="2" t="inlineStr">
        <is>
          <t>E068</t>
        </is>
      </c>
      <c r="B672" s="2" t="inlineStr">
        <is>
          <t>E068.01</t>
        </is>
      </c>
      <c r="C672" s="2" t="inlineStr">
        <is>
          <t>Definir eventos obrigatórios de solicitação, versão, aprovação e estorno.</t>
        </is>
      </c>
      <c r="D672" s="2" t="inlineStr">
        <is>
          <t>Backend, UX e Auditoria</t>
        </is>
      </c>
      <c r="E672" s="4" t="inlineStr">
        <is>
          <t>Pendente</t>
        </is>
      </c>
      <c r="F672" s="4" t="inlineStr"/>
      <c r="G672" s="2">
        <f>IF(AND(E672="Concluída",LEN(TRIM(F672))&gt;0),1,0)</f>
        <v/>
      </c>
      <c r="H672" s="4" t="inlineStr"/>
    </row>
    <row r="673" ht="54" customHeight="1">
      <c r="A673" s="2" t="inlineStr">
        <is>
          <t>E068</t>
        </is>
      </c>
      <c r="B673" s="2" t="inlineStr">
        <is>
          <t>E068.02</t>
        </is>
      </c>
      <c r="C673" s="2" t="inlineStr">
        <is>
          <t>Persistir ator, contexto, data e versão no servidor.</t>
        </is>
      </c>
      <c r="D673" s="2" t="inlineStr">
        <is>
          <t>Backend, UX e Auditoria</t>
        </is>
      </c>
      <c r="E673" s="4" t="inlineStr">
        <is>
          <t>Pendente</t>
        </is>
      </c>
      <c r="F673" s="4" t="inlineStr"/>
      <c r="G673" s="2">
        <f>IF(AND(E673="Concluída",LEN(TRIM(F673))&gt;0),1,0)</f>
        <v/>
      </c>
      <c r="H673" s="4" t="inlineStr"/>
    </row>
    <row r="674" ht="54" customHeight="1">
      <c r="A674" s="2" t="inlineStr">
        <is>
          <t>E068</t>
        </is>
      </c>
      <c r="B674" s="2" t="inlineStr">
        <is>
          <t>E068.03</t>
        </is>
      </c>
      <c r="C674" s="2" t="inlineStr">
        <is>
          <t>Registrar a política e eventual delegação usadas na decisão.</t>
        </is>
      </c>
      <c r="D674" s="2" t="inlineStr">
        <is>
          <t>Backend, UX e Auditoria</t>
        </is>
      </c>
      <c r="E674" s="4" t="inlineStr">
        <is>
          <t>Pendente</t>
        </is>
      </c>
      <c r="F674" s="4" t="inlineStr"/>
      <c r="G674" s="2">
        <f>IF(AND(E674="Concluída",LEN(TRIM(F674))&gt;0),1,0)</f>
        <v/>
      </c>
      <c r="H674" s="4" t="inlineStr"/>
    </row>
    <row r="675" ht="54" customHeight="1">
      <c r="A675" s="2" t="inlineStr">
        <is>
          <t>E068</t>
        </is>
      </c>
      <c r="B675" s="2" t="inlineStr">
        <is>
          <t>E068.04</t>
        </is>
      </c>
      <c r="C675" s="2" t="inlineStr">
        <is>
          <t>Associar documentos sem replicar dados pessoais desnecessários no log.</t>
        </is>
      </c>
      <c r="D675" s="2" t="inlineStr">
        <is>
          <t>Backend, UX e Auditoria</t>
        </is>
      </c>
      <c r="E675" s="4" t="inlineStr">
        <is>
          <t>Pendente</t>
        </is>
      </c>
      <c r="F675" s="4" t="inlineStr"/>
      <c r="G675" s="2">
        <f>IF(AND(E675="Concluída",LEN(TRIM(F675))&gt;0),1,0)</f>
        <v/>
      </c>
      <c r="H675" s="4" t="inlineStr"/>
    </row>
    <row r="676" ht="54" customHeight="1">
      <c r="A676" s="2" t="inlineStr">
        <is>
          <t>E068</t>
        </is>
      </c>
      <c r="B676" s="2" t="inlineStr">
        <is>
          <t>E068.05</t>
        </is>
      </c>
      <c r="C676" s="2" t="inlineStr">
        <is>
          <t>Impedir que compradores alterem ou apaguem decisões históricas.</t>
        </is>
      </c>
      <c r="D676" s="2" t="inlineStr">
        <is>
          <t>Backend, UX e Auditoria</t>
        </is>
      </c>
      <c r="E676" s="4" t="inlineStr">
        <is>
          <t>Pendente</t>
        </is>
      </c>
      <c r="F676" s="4" t="inlineStr"/>
      <c r="G676" s="2">
        <f>IF(AND(E676="Concluída",LEN(TRIM(F676))&gt;0),1,0)</f>
        <v/>
      </c>
      <c r="H676" s="4" t="inlineStr"/>
    </row>
    <row r="677" ht="54" customHeight="1">
      <c r="A677" s="2" t="inlineStr">
        <is>
          <t>E068</t>
        </is>
      </c>
      <c r="B677" s="2" t="inlineStr">
        <is>
          <t>E068.06</t>
        </is>
      </c>
      <c r="C677" s="2" t="inlineStr">
        <is>
          <t>Mostrar linha do tempo com termos compreensíveis para a operação.</t>
        </is>
      </c>
      <c r="D677" s="2" t="inlineStr">
        <is>
          <t>Backend, UX e Auditoria</t>
        </is>
      </c>
      <c r="E677" s="4" t="inlineStr">
        <is>
          <t>Pendente</t>
        </is>
      </c>
      <c r="F677" s="4" t="inlineStr"/>
      <c r="G677" s="2">
        <f>IF(AND(E677="Concluída",LEN(TRIM(F677))&gt;0),1,0)</f>
        <v/>
      </c>
      <c r="H677" s="4" t="inlineStr"/>
    </row>
    <row r="678" ht="54" customHeight="1">
      <c r="A678" s="2" t="inlineStr">
        <is>
          <t>E068</t>
        </is>
      </c>
      <c r="B678" s="2" t="inlineStr">
        <is>
          <t>E068.07</t>
        </is>
      </c>
      <c r="C678" s="2" t="inlineStr">
        <is>
          <t>Permitir filtrar histórico por tipo de evento e período autorizado.</t>
        </is>
      </c>
      <c r="D678" s="2" t="inlineStr">
        <is>
          <t>Backend, UX e Auditoria</t>
        </is>
      </c>
      <c r="E678" s="4" t="inlineStr">
        <is>
          <t>Pendente</t>
        </is>
      </c>
      <c r="F678" s="4" t="inlineStr"/>
      <c r="G678" s="2">
        <f>IF(AND(E678="Concluída",LEN(TRIM(F678))&gt;0),1,0)</f>
        <v/>
      </c>
      <c r="H678" s="4" t="inlineStr"/>
    </row>
    <row r="679" ht="54" customHeight="1">
      <c r="A679" s="2" t="inlineStr">
        <is>
          <t>E068</t>
        </is>
      </c>
      <c r="B679" s="2" t="inlineStr">
        <is>
          <t>E068.08</t>
        </is>
      </c>
      <c r="C679" s="2" t="inlineStr">
        <is>
          <t>Oferecer exportação restrita com identificador do pedido e origem.</t>
        </is>
      </c>
      <c r="D679" s="2" t="inlineStr">
        <is>
          <t>Backend, UX e Auditoria</t>
        </is>
      </c>
      <c r="E679" s="4" t="inlineStr">
        <is>
          <t>Pendente</t>
        </is>
      </c>
      <c r="F679" s="4" t="inlineStr"/>
      <c r="G679" s="2">
        <f>IF(AND(E679="Concluída",LEN(TRIM(F679))&gt;0),1,0)</f>
        <v/>
      </c>
      <c r="H679" s="4" t="inlineStr"/>
    </row>
    <row r="680" ht="54" customHeight="1">
      <c r="A680" s="2" t="inlineStr">
        <is>
          <t>E068</t>
        </is>
      </c>
      <c r="B680" s="2" t="inlineStr">
        <is>
          <t>E068.09</t>
        </is>
      </c>
      <c r="C680" s="2" t="inlineStr">
        <is>
          <t>Tratar falha de auditoria crítica sem concluir ação sem rastro.</t>
        </is>
      </c>
      <c r="D680" s="2" t="inlineStr">
        <is>
          <t>Backend, UX e Auditoria</t>
        </is>
      </c>
      <c r="E680" s="4" t="inlineStr">
        <is>
          <t>Pendente</t>
        </is>
      </c>
      <c r="F680" s="4" t="inlineStr"/>
      <c r="G680" s="2">
        <f>IF(AND(E680="Concluída",LEN(TRIM(F680))&gt;0),1,0)</f>
        <v/>
      </c>
      <c r="H680" s="4" t="inlineStr"/>
    </row>
    <row r="681" ht="54" customHeight="1">
      <c r="A681" s="2" t="inlineStr">
        <is>
          <t>E068</t>
        </is>
      </c>
      <c r="B681" s="2" t="inlineStr">
        <is>
          <t>E068.10</t>
        </is>
      </c>
      <c r="C681" s="2" t="inlineStr">
        <is>
          <t>Reconstruir um pedido de exemplo a partir do histórico e seus documentos.</t>
        </is>
      </c>
      <c r="D681" s="2" t="inlineStr">
        <is>
          <t>Backend, UX e Auditoria</t>
        </is>
      </c>
      <c r="E681" s="4" t="inlineStr">
        <is>
          <t>Pendente</t>
        </is>
      </c>
      <c r="F681" s="4" t="inlineStr"/>
      <c r="G681" s="2">
        <f>IF(AND(E681="Concluída",LEN(TRIM(F681))&gt;0),1,0)</f>
        <v/>
      </c>
      <c r="H681" s="4" t="inlineStr"/>
    </row>
    <row r="682" ht="54" customHeight="1">
      <c r="A682" s="2" t="inlineStr">
        <is>
          <t>E069</t>
        </is>
      </c>
      <c r="B682" s="2" t="inlineStr">
        <is>
          <t>E069.01</t>
        </is>
      </c>
      <c r="C682" s="2" t="inlineStr">
        <is>
          <t>Definir alterações permitidas em rascunho, aprovação e produção.</t>
        </is>
      </c>
      <c r="D682" s="2" t="inlineStr">
        <is>
          <t>UX, Backend e Operação</t>
        </is>
      </c>
      <c r="E682" s="4" t="inlineStr">
        <is>
          <t>Pendente</t>
        </is>
      </c>
      <c r="F682" s="4" t="inlineStr"/>
      <c r="G682" s="2">
        <f>IF(AND(E682="Concluída",LEN(TRIM(F682))&gt;0),1,0)</f>
        <v/>
      </c>
      <c r="H682" s="4" t="inlineStr"/>
    </row>
    <row r="683" ht="54" customHeight="1">
      <c r="A683" s="2" t="inlineStr">
        <is>
          <t>E069</t>
        </is>
      </c>
      <c r="B683" s="2" t="inlineStr">
        <is>
          <t>E069.02</t>
        </is>
      </c>
      <c r="C683" s="2" t="inlineStr">
        <is>
          <t>Explicar consequências antes de alterar quantidade, arte ou destino.</t>
        </is>
      </c>
      <c r="D683" s="2" t="inlineStr">
        <is>
          <t>UX, Backend e Operação</t>
        </is>
      </c>
      <c r="E683" s="4" t="inlineStr">
        <is>
          <t>Pendente</t>
        </is>
      </c>
      <c r="F683" s="4" t="inlineStr"/>
      <c r="G683" s="2">
        <f>IF(AND(E683="Concluída",LEN(TRIM(F683))&gt;0),1,0)</f>
        <v/>
      </c>
      <c r="H683" s="4" t="inlineStr"/>
    </row>
    <row r="684" ht="54" customHeight="1">
      <c r="A684" s="2" t="inlineStr">
        <is>
          <t>E069</t>
        </is>
      </c>
      <c r="B684" s="2" t="inlineStr">
        <is>
          <t>E069.03</t>
        </is>
      </c>
      <c r="C684" s="2" t="inlineStr">
        <is>
          <t>Identificar quais aprovações deixam de valer após a alteração.</t>
        </is>
      </c>
      <c r="D684" s="2" t="inlineStr">
        <is>
          <t>UX, Backend e Operação</t>
        </is>
      </c>
      <c r="E684" s="4" t="inlineStr">
        <is>
          <t>Pendente</t>
        </is>
      </c>
      <c r="F684" s="4" t="inlineStr"/>
      <c r="G684" s="2">
        <f>IF(AND(E684="Concluída",LEN(TRIM(F684))&gt;0),1,0)</f>
        <v/>
      </c>
      <c r="H684" s="4" t="inlineStr"/>
    </row>
    <row r="685" ht="54" customHeight="1">
      <c r="A685" s="2" t="inlineStr">
        <is>
          <t>E069</t>
        </is>
      </c>
      <c r="B685" s="2" t="inlineStr">
        <is>
          <t>E069.04</t>
        </is>
      </c>
      <c r="C685" s="2" t="inlineStr">
        <is>
          <t>Registrar nova versão sem sobrescrever a decisão histórica.</t>
        </is>
      </c>
      <c r="D685" s="2" t="inlineStr">
        <is>
          <t>UX, Backend e Operação</t>
        </is>
      </c>
      <c r="E685" s="4" t="inlineStr">
        <is>
          <t>Pendente</t>
        </is>
      </c>
      <c r="F685" s="4" t="inlineStr"/>
      <c r="G685" s="2">
        <f>IF(AND(E685="Concluída",LEN(TRIM(F685))&gt;0),1,0)</f>
        <v/>
      </c>
      <c r="H685" s="4" t="inlineStr"/>
    </row>
    <row r="686" ht="54" customHeight="1">
      <c r="A686" s="2" t="inlineStr">
        <is>
          <t>E069</t>
        </is>
      </c>
      <c r="B686" s="2" t="inlineStr">
        <is>
          <t>E069.05</t>
        </is>
      </c>
      <c r="C686" s="2" t="inlineStr">
        <is>
          <t>Solicitar confirmação do fornecedor quando houver compromisso já assumido.</t>
        </is>
      </c>
      <c r="D686" s="2" t="inlineStr">
        <is>
          <t>UX, Backend e Operação</t>
        </is>
      </c>
      <c r="E686" s="4" t="inlineStr">
        <is>
          <t>Pendente</t>
        </is>
      </c>
      <c r="F686" s="4" t="inlineStr"/>
      <c r="G686" s="2">
        <f>IF(AND(E686="Concluída",LEN(TRIM(F686))&gt;0),1,0)</f>
        <v/>
      </c>
      <c r="H686" s="4" t="inlineStr"/>
    </row>
    <row r="687" ht="54" customHeight="1">
      <c r="A687" s="2" t="inlineStr">
        <is>
          <t>E069</t>
        </is>
      </c>
      <c r="B687" s="2" t="inlineStr">
        <is>
          <t>E069.06</t>
        </is>
      </c>
      <c r="C687" s="2" t="inlineStr">
        <is>
          <t>Aplicar estorno ou ajuste de verba conforme evento confirmado.</t>
        </is>
      </c>
      <c r="D687" s="2" t="inlineStr">
        <is>
          <t>UX, Backend e Operação</t>
        </is>
      </c>
      <c r="E687" s="4" t="inlineStr">
        <is>
          <t>Pendente</t>
        </is>
      </c>
      <c r="F687" s="4" t="inlineStr"/>
      <c r="G687" s="2">
        <f>IF(AND(E687="Concluída",LEN(TRIM(F687))&gt;0),1,0)</f>
        <v/>
      </c>
      <c r="H687" s="4" t="inlineStr"/>
    </row>
    <row r="688" ht="54" customHeight="1">
      <c r="A688" s="2" t="inlineStr">
        <is>
          <t>E069</t>
        </is>
      </c>
      <c r="B688" s="2" t="inlineStr">
        <is>
          <t>E069.07</t>
        </is>
      </c>
      <c r="C688" s="2" t="inlineStr">
        <is>
          <t>Tratar cancelamento parcial por item ou destino quando operacionalmente possível.</t>
        </is>
      </c>
      <c r="D688" s="2" t="inlineStr">
        <is>
          <t>UX, Backend e Operação</t>
        </is>
      </c>
      <c r="E688" s="4" t="inlineStr">
        <is>
          <t>Pendente</t>
        </is>
      </c>
      <c r="F688" s="4" t="inlineStr"/>
      <c r="G688" s="2">
        <f>IF(AND(E688="Concluída",LEN(TRIM(F688))&gt;0),1,0)</f>
        <v/>
      </c>
      <c r="H688" s="4" t="inlineStr"/>
    </row>
    <row r="689" ht="54" customHeight="1">
      <c r="A689" s="2" t="inlineStr">
        <is>
          <t>E069</t>
        </is>
      </c>
      <c r="B689" s="2" t="inlineStr">
        <is>
          <t>E069.08</t>
        </is>
      </c>
      <c r="C689" s="2" t="inlineStr">
        <is>
          <t>Mostrar cobrança ou condição pendente apenas com base contratual verificável.</t>
        </is>
      </c>
      <c r="D689" s="2" t="inlineStr">
        <is>
          <t>UX, Backend e Operação</t>
        </is>
      </c>
      <c r="E689" s="4" t="inlineStr">
        <is>
          <t>Pendente</t>
        </is>
      </c>
      <c r="F689" s="4" t="inlineStr"/>
      <c r="G689" s="2">
        <f>IF(AND(E689="Concluída",LEN(TRIM(F689))&gt;0),1,0)</f>
        <v/>
      </c>
      <c r="H689" s="4" t="inlineStr"/>
    </row>
    <row r="690" ht="54" customHeight="1">
      <c r="A690" s="2" t="inlineStr">
        <is>
          <t>E069</t>
        </is>
      </c>
      <c r="B690" s="2" t="inlineStr">
        <is>
          <t>E069.09</t>
        </is>
      </c>
      <c r="C690" s="2" t="inlineStr">
        <is>
          <t>Notificar responsáveis afetados pela revisão aprovada.</t>
        </is>
      </c>
      <c r="D690" s="2" t="inlineStr">
        <is>
          <t>UX, Backend e Operação</t>
        </is>
      </c>
      <c r="E690" s="4" t="inlineStr">
        <is>
          <t>Pendente</t>
        </is>
      </c>
      <c r="F690" s="4" t="inlineStr"/>
      <c r="G690" s="2">
        <f>IF(AND(E690="Concluída",LEN(TRIM(F690))&gt;0),1,0)</f>
        <v/>
      </c>
      <c r="H690" s="4" t="inlineStr"/>
    </row>
    <row r="691" ht="54" customHeight="1">
      <c r="A691" s="2" t="inlineStr">
        <is>
          <t>E069</t>
        </is>
      </c>
      <c r="B691" s="2" t="inlineStr">
        <is>
          <t>E069.10</t>
        </is>
      </c>
      <c r="C691" s="2" t="inlineStr">
        <is>
          <t>Testar cancelamento repetido, mudança concorrente e revisão após início de produção.</t>
        </is>
      </c>
      <c r="D691" s="2" t="inlineStr">
        <is>
          <t>UX, Backend e Operação</t>
        </is>
      </c>
      <c r="E691" s="4" t="inlineStr">
        <is>
          <t>Pendente</t>
        </is>
      </c>
      <c r="F691" s="4" t="inlineStr"/>
      <c r="G691" s="2">
        <f>IF(AND(E691="Concluída",LEN(TRIM(F691))&gt;0),1,0)</f>
        <v/>
      </c>
      <c r="H691" s="4" t="inlineStr"/>
    </row>
    <row r="692" ht="54" customHeight="1">
      <c r="A692" s="2" t="inlineStr">
        <is>
          <t>E070</t>
        </is>
      </c>
      <c r="B692" s="2" t="inlineStr">
        <is>
          <t>E070.01</t>
        </is>
      </c>
      <c r="C692" s="2" t="inlineStr">
        <is>
          <t>Reconciliar estados de requisição, proposta, pedido e entrega no contrato canônico.</t>
        </is>
      </c>
      <c r="D692" s="2" t="inlineStr">
        <is>
          <t>UX, Backend e Frontend</t>
        </is>
      </c>
      <c r="E692" s="4" t="inlineStr">
        <is>
          <t>Pendente</t>
        </is>
      </c>
      <c r="F692" s="4" t="inlineStr"/>
      <c r="G692" s="2">
        <f>IF(AND(E692="Concluída",LEN(TRIM(F692))&gt;0),1,0)</f>
        <v/>
      </c>
      <c r="H692" s="4" t="inlineStr"/>
    </row>
    <row r="693" ht="54" customHeight="1">
      <c r="A693" s="2" t="inlineStr">
        <is>
          <t>E070</t>
        </is>
      </c>
      <c r="B693" s="2" t="inlineStr">
        <is>
          <t>E070.02</t>
        </is>
      </c>
      <c r="C693" s="2" t="inlineStr">
        <is>
          <t>Definir transições válidas e responsáveis por executá-las.</t>
        </is>
      </c>
      <c r="D693" s="2" t="inlineStr">
        <is>
          <t>UX, Backend e Frontend</t>
        </is>
      </c>
      <c r="E693" s="4" t="inlineStr">
        <is>
          <t>Pendente</t>
        </is>
      </c>
      <c r="F693" s="4" t="inlineStr"/>
      <c r="G693" s="2">
        <f>IF(AND(E693="Concluída",LEN(TRIM(F693))&gt;0),1,0)</f>
        <v/>
      </c>
      <c r="H693" s="4" t="inlineStr"/>
    </row>
    <row r="694" ht="54" customHeight="1">
      <c r="A694" s="2" t="inlineStr">
        <is>
          <t>E070</t>
        </is>
      </c>
      <c r="B694" s="2" t="inlineStr">
        <is>
          <t>E070.03</t>
        </is>
      </c>
      <c r="C694" s="2" t="inlineStr">
        <is>
          <t>Exibir estado atual sem misturar aprovação comercial e etapa logística.</t>
        </is>
      </c>
      <c r="D694" s="2" t="inlineStr">
        <is>
          <t>UX, Backend e Frontend</t>
        </is>
      </c>
      <c r="E694" s="4" t="inlineStr">
        <is>
          <t>Pendente</t>
        </is>
      </c>
      <c r="F694" s="4" t="inlineStr"/>
      <c r="G694" s="2">
        <f>IF(AND(E694="Concluída",LEN(TRIM(F694))&gt;0),1,0)</f>
        <v/>
      </c>
      <c r="H694" s="4" t="inlineStr"/>
    </row>
    <row r="695" ht="54" customHeight="1">
      <c r="A695" s="2" t="inlineStr">
        <is>
          <t>E070</t>
        </is>
      </c>
      <c r="B695" s="2" t="inlineStr">
        <is>
          <t>E070.04</t>
        </is>
      </c>
      <c r="C695" s="2" t="inlineStr">
        <is>
          <t>Mostrar próxima ação e impedimento quando o pedido não puder avançar.</t>
        </is>
      </c>
      <c r="D695" s="2" t="inlineStr">
        <is>
          <t>UX, Backend e Frontend</t>
        </is>
      </c>
      <c r="E695" s="4" t="inlineStr">
        <is>
          <t>Pendente</t>
        </is>
      </c>
      <c r="F695" s="4" t="inlineStr"/>
      <c r="G695" s="2">
        <f>IF(AND(E695="Concluída",LEN(TRIM(F695))&gt;0),1,0)</f>
        <v/>
      </c>
      <c r="H695" s="4" t="inlineStr"/>
    </row>
    <row r="696" ht="54" customHeight="1">
      <c r="A696" s="2" t="inlineStr">
        <is>
          <t>E070</t>
        </is>
      </c>
      <c r="B696" s="2" t="inlineStr">
        <is>
          <t>E070.05</t>
        </is>
      </c>
      <c r="C696" s="2" t="inlineStr">
        <is>
          <t>Associar cada mudança a evento, ator e horário verificáveis.</t>
        </is>
      </c>
      <c r="D696" s="2" t="inlineStr">
        <is>
          <t>UX, Backend e Frontend</t>
        </is>
      </c>
      <c r="E696" s="4" t="inlineStr">
        <is>
          <t>Pendente</t>
        </is>
      </c>
      <c r="F696" s="4" t="inlineStr"/>
      <c r="G696" s="2">
        <f>IF(AND(E696="Concluída",LEN(TRIM(F696))&gt;0),1,0)</f>
        <v/>
      </c>
      <c r="H696" s="4" t="inlineStr"/>
    </row>
    <row r="697" ht="54" customHeight="1">
      <c r="A697" s="2" t="inlineStr">
        <is>
          <t>E070</t>
        </is>
      </c>
      <c r="B697" s="2" t="inlineStr">
        <is>
          <t>E070.06</t>
        </is>
      </c>
      <c r="C697" s="2" t="inlineStr">
        <is>
          <t>Tratar pedido com itens em estágios diferentes sem simplificação enganosa.</t>
        </is>
      </c>
      <c r="D697" s="2" t="inlineStr">
        <is>
          <t>UX, Backend e Frontend</t>
        </is>
      </c>
      <c r="E697" s="4" t="inlineStr">
        <is>
          <t>Pendente</t>
        </is>
      </c>
      <c r="F697" s="4" t="inlineStr"/>
      <c r="G697" s="2">
        <f>IF(AND(E697="Concluída",LEN(TRIM(F697))&gt;0),1,0)</f>
        <v/>
      </c>
      <c r="H697" s="4" t="inlineStr"/>
    </row>
    <row r="698" ht="54" customHeight="1">
      <c r="A698" s="2" t="inlineStr">
        <is>
          <t>E070</t>
        </is>
      </c>
      <c r="B698" s="2" t="inlineStr">
        <is>
          <t>E070.07</t>
        </is>
      </c>
      <c r="C698" s="2" t="inlineStr">
        <is>
          <t>Bloquear transições inválidas no servidor, inclusive por chamadas diretas.</t>
        </is>
      </c>
      <c r="D698" s="2" t="inlineStr">
        <is>
          <t>UX, Backend e Frontend</t>
        </is>
      </c>
      <c r="E698" s="4" t="inlineStr">
        <is>
          <t>Pendente</t>
        </is>
      </c>
      <c r="F698" s="4" t="inlineStr"/>
      <c r="G698" s="2">
        <f>IF(AND(E698="Concluída",LEN(TRIM(F698))&gt;0),1,0)</f>
        <v/>
      </c>
      <c r="H698" s="4" t="inlineStr"/>
    </row>
    <row r="699" ht="54" customHeight="1">
      <c r="A699" s="2" t="inlineStr">
        <is>
          <t>E070</t>
        </is>
      </c>
      <c r="B699" s="2" t="inlineStr">
        <is>
          <t>E070.08</t>
        </is>
      </c>
      <c r="C699" s="2" t="inlineStr">
        <is>
          <t>Atualizar a interface após eventos sem perder contexto do usuário.</t>
        </is>
      </c>
      <c r="D699" s="2" t="inlineStr">
        <is>
          <t>UX, Backend e Frontend</t>
        </is>
      </c>
      <c r="E699" s="4" t="inlineStr">
        <is>
          <t>Pendente</t>
        </is>
      </c>
      <c r="F699" s="4" t="inlineStr"/>
      <c r="G699" s="2">
        <f>IF(AND(E699="Concluída",LEN(TRIM(F699))&gt;0),1,0)</f>
        <v/>
      </c>
      <c r="H699" s="4" t="inlineStr"/>
    </row>
    <row r="700" ht="54" customHeight="1">
      <c r="A700" s="2" t="inlineStr">
        <is>
          <t>E070</t>
        </is>
      </c>
      <c r="B700" s="2" t="inlineStr">
        <is>
          <t>E070.09</t>
        </is>
      </c>
      <c r="C700" s="2" t="inlineStr">
        <is>
          <t>Registrar notificações derivadas das transições realmente confirmadas.</t>
        </is>
      </c>
      <c r="D700" s="2" t="inlineStr">
        <is>
          <t>UX, Backend e Frontend</t>
        </is>
      </c>
      <c r="E700" s="4" t="inlineStr">
        <is>
          <t>Pendente</t>
        </is>
      </c>
      <c r="F700" s="4" t="inlineStr"/>
      <c r="G700" s="2">
        <f>IF(AND(E700="Concluída",LEN(TRIM(F700))&gt;0),1,0)</f>
        <v/>
      </c>
      <c r="H700" s="4" t="inlineStr"/>
    </row>
    <row r="701" ht="54" customHeight="1">
      <c r="A701" s="2" t="inlineStr">
        <is>
          <t>E070</t>
        </is>
      </c>
      <c r="B701" s="2" t="inlineStr">
        <is>
          <t>E070.10</t>
        </is>
      </c>
      <c r="C701" s="2" t="inlineStr">
        <is>
          <t>Percorrer o ciclo completo com rejeição, revisão e retomada em homologação.</t>
        </is>
      </c>
      <c r="D701" s="2" t="inlineStr">
        <is>
          <t>UX, Backend e Frontend</t>
        </is>
      </c>
      <c r="E701" s="4" t="inlineStr">
        <is>
          <t>Pendente</t>
        </is>
      </c>
      <c r="F701" s="4" t="inlineStr"/>
      <c r="G701" s="2">
        <f>IF(AND(E701="Concluída",LEN(TRIM(F701))&gt;0),1,0)</f>
        <v/>
      </c>
      <c r="H701" s="4" t="inlineStr"/>
    </row>
    <row r="702" ht="54" customHeight="1">
      <c r="A702" s="2" t="inlineStr">
        <is>
          <t>E071</t>
        </is>
      </c>
      <c r="B702" s="2" t="inlineStr">
        <is>
          <t>E071.01</t>
        </is>
      </c>
      <c r="C702" s="2" t="inlineStr">
        <is>
          <t>Identificar a entidade fornecedora responsável por cada item contratado.</t>
        </is>
      </c>
      <c r="D702" s="2" t="inlineStr">
        <is>
          <t>Operação, Comercial e Backend</t>
        </is>
      </c>
      <c r="E702" s="4" t="inlineStr">
        <is>
          <t>Pendente</t>
        </is>
      </c>
      <c r="F702" s="4" t="inlineStr"/>
      <c r="G702" s="2">
        <f>IF(AND(E702="Concluída",LEN(TRIM(F702))&gt;0),1,0)</f>
        <v/>
      </c>
      <c r="H702" s="4" t="inlineStr"/>
    </row>
    <row r="703" ht="54" customHeight="1">
      <c r="A703" s="2" t="inlineStr">
        <is>
          <t>E071</t>
        </is>
      </c>
      <c r="B703" s="2" t="inlineStr">
        <is>
          <t>E071.02</t>
        </is>
      </c>
      <c r="C703" s="2" t="inlineStr">
        <is>
          <t>Reunir versão comercial, arte e especificações aprovadas em um pacote.</t>
        </is>
      </c>
      <c r="D703" s="2" t="inlineStr">
        <is>
          <t>Operação, Comercial e Backend</t>
        </is>
      </c>
      <c r="E703" s="4" t="inlineStr">
        <is>
          <t>Pendente</t>
        </is>
      </c>
      <c r="F703" s="4" t="inlineStr"/>
      <c r="G703" s="2">
        <f>IF(AND(E703="Concluída",LEN(TRIM(F703))&gt;0),1,0)</f>
        <v/>
      </c>
      <c r="H703" s="4" t="inlineStr"/>
    </row>
    <row r="704" ht="54" customHeight="1">
      <c r="A704" s="2" t="inlineStr">
        <is>
          <t>E071</t>
        </is>
      </c>
      <c r="B704" s="2" t="inlineStr">
        <is>
          <t>E071.03</t>
        </is>
      </c>
      <c r="C704" s="2" t="inlineStr">
        <is>
          <t>Incluir quantidades, embalagem, destinos e datas acordadas.</t>
        </is>
      </c>
      <c r="D704" s="2" t="inlineStr">
        <is>
          <t>Operação, Comercial e Backend</t>
        </is>
      </c>
      <c r="E704" s="4" t="inlineStr">
        <is>
          <t>Pendente</t>
        </is>
      </c>
      <c r="F704" s="4" t="inlineStr"/>
      <c r="G704" s="2">
        <f>IF(AND(E704="Concluída",LEN(TRIM(F704))&gt;0),1,0)</f>
        <v/>
      </c>
      <c r="H704" s="4" t="inlineStr"/>
    </row>
    <row r="705" ht="54" customHeight="1">
      <c r="A705" s="2" t="inlineStr">
        <is>
          <t>E071</t>
        </is>
      </c>
      <c r="B705" s="2" t="inlineStr">
        <is>
          <t>E071.04</t>
        </is>
      </c>
      <c r="C705" s="2" t="inlineStr">
        <is>
          <t>Mostrar condições que ainda impedem iniciar produção.</t>
        </is>
      </c>
      <c r="D705" s="2" t="inlineStr">
        <is>
          <t>Operação, Comercial e Backend</t>
        </is>
      </c>
      <c r="E705" s="4" t="inlineStr">
        <is>
          <t>Pendente</t>
        </is>
      </c>
      <c r="F705" s="4" t="inlineStr"/>
      <c r="G705" s="2">
        <f>IF(AND(E705="Concluída",LEN(TRIM(F705))&gt;0),1,0)</f>
        <v/>
      </c>
      <c r="H705" s="4" t="inlineStr"/>
    </row>
    <row r="706" ht="54" customHeight="1">
      <c r="A706" s="2" t="inlineStr">
        <is>
          <t>E071</t>
        </is>
      </c>
      <c r="B706" s="2" t="inlineStr">
        <is>
          <t>E071.05</t>
        </is>
      </c>
      <c r="C706" s="2" t="inlineStr">
        <is>
          <t>Definir canal e formato de recebimento da ordem pelo fornecedor.</t>
        </is>
      </c>
      <c r="D706" s="2" t="inlineStr">
        <is>
          <t>Operação, Comercial e Backend</t>
        </is>
      </c>
      <c r="E706" s="4" t="inlineStr">
        <is>
          <t>Pendente</t>
        </is>
      </c>
      <c r="F706" s="4" t="inlineStr"/>
      <c r="G706" s="2">
        <f>IF(AND(E706="Concluída",LEN(TRIM(F706))&gt;0),1,0)</f>
        <v/>
      </c>
      <c r="H706" s="4" t="inlineStr"/>
    </row>
    <row r="707" ht="54" customHeight="1">
      <c r="A707" s="2" t="inlineStr">
        <is>
          <t>E071</t>
        </is>
      </c>
      <c r="B707" s="2" t="inlineStr">
        <is>
          <t>E071.06</t>
        </is>
      </c>
      <c r="C707" s="2" t="inlineStr">
        <is>
          <t>Registrar confirmação de recebimento e aceite das condições.</t>
        </is>
      </c>
      <c r="D707" s="2" t="inlineStr">
        <is>
          <t>Operação, Comercial e Backend</t>
        </is>
      </c>
      <c r="E707" s="4" t="inlineStr">
        <is>
          <t>Pendente</t>
        </is>
      </c>
      <c r="F707" s="4" t="inlineStr"/>
      <c r="G707" s="2">
        <f>IF(AND(E707="Concluída",LEN(TRIM(F707))&gt;0),1,0)</f>
        <v/>
      </c>
      <c r="H707" s="4" t="inlineStr"/>
    </row>
    <row r="708" ht="54" customHeight="1">
      <c r="A708" s="2" t="inlineStr">
        <is>
          <t>E071</t>
        </is>
      </c>
      <c r="B708" s="2" t="inlineStr">
        <is>
          <t>E071.07</t>
        </is>
      </c>
      <c r="C708" s="2" t="inlineStr">
        <is>
          <t>Tratar divergência apontada pelo fornecedor antes de produzir.</t>
        </is>
      </c>
      <c r="D708" s="2" t="inlineStr">
        <is>
          <t>Operação, Comercial e Backend</t>
        </is>
      </c>
      <c r="E708" s="4" t="inlineStr">
        <is>
          <t>Pendente</t>
        </is>
      </c>
      <c r="F708" s="4" t="inlineStr"/>
      <c r="G708" s="2">
        <f>IF(AND(E708="Concluída",LEN(TRIM(F708))&gt;0),1,0)</f>
        <v/>
      </c>
      <c r="H708" s="4" t="inlineStr"/>
    </row>
    <row r="709" ht="54" customHeight="1">
      <c r="A709" s="2" t="inlineStr">
        <is>
          <t>E071</t>
        </is>
      </c>
      <c r="B709" s="2" t="inlineStr">
        <is>
          <t>E071.08</t>
        </is>
      </c>
      <c r="C709" s="2" t="inlineStr">
        <is>
          <t>Impedir envio de versão substituída ou ainda não aprovada.</t>
        </is>
      </c>
      <c r="D709" s="2" t="inlineStr">
        <is>
          <t>Operação, Comercial e Backend</t>
        </is>
      </c>
      <c r="E709" s="4" t="inlineStr">
        <is>
          <t>Pendente</t>
        </is>
      </c>
      <c r="F709" s="4" t="inlineStr"/>
      <c r="G709" s="2">
        <f>IF(AND(E709="Concluída",LEN(TRIM(F709))&gt;0),1,0)</f>
        <v/>
      </c>
      <c r="H709" s="4" t="inlineStr"/>
    </row>
    <row r="710" ht="54" customHeight="1">
      <c r="A710" s="2" t="inlineStr">
        <is>
          <t>E071</t>
        </is>
      </c>
      <c r="B710" s="2" t="inlineStr">
        <is>
          <t>E071.09</t>
        </is>
      </c>
      <c r="C710" s="2" t="inlineStr">
        <is>
          <t>Restringir o acesso do fornecedor aos dados necessários ao fornecimento.</t>
        </is>
      </c>
      <c r="D710" s="2" t="inlineStr">
        <is>
          <t>Operação, Comercial e Backend</t>
        </is>
      </c>
      <c r="E710" s="4" t="inlineStr">
        <is>
          <t>Pendente</t>
        </is>
      </c>
      <c r="F710" s="4" t="inlineStr"/>
      <c r="G710" s="2">
        <f>IF(AND(E710="Concluída",LEN(TRIM(F710))&gt;0),1,0)</f>
        <v/>
      </c>
      <c r="H710" s="4" t="inlineStr"/>
    </row>
    <row r="711" ht="54" customHeight="1">
      <c r="A711" s="2" t="inlineStr">
        <is>
          <t>E071</t>
        </is>
      </c>
      <c r="B711" s="2" t="inlineStr">
        <is>
          <t>E071.10</t>
        </is>
      </c>
      <c r="C711" s="2" t="inlineStr">
        <is>
          <t>Validar uma ordem de exemplo com produção e logística responsáveis.</t>
        </is>
      </c>
      <c r="D711" s="2" t="inlineStr">
        <is>
          <t>Operação, Comercial e Backend</t>
        </is>
      </c>
      <c r="E711" s="4" t="inlineStr">
        <is>
          <t>Pendente</t>
        </is>
      </c>
      <c r="F711" s="4" t="inlineStr"/>
      <c r="G711" s="2">
        <f>IF(AND(E711="Concluída",LEN(TRIM(F711))&gt;0),1,0)</f>
        <v/>
      </c>
      <c r="H711" s="4" t="inlineStr"/>
    </row>
    <row r="712" ht="54" customHeight="1">
      <c r="A712" s="2" t="inlineStr">
        <is>
          <t>E072</t>
        </is>
      </c>
      <c r="B712" s="2" t="inlineStr">
        <is>
          <t>E072.01</t>
        </is>
      </c>
      <c r="C712" s="2" t="inlineStr">
        <is>
          <t>Definir marcos operacionais que a equipe consegue informar com confiança.</t>
        </is>
      </c>
      <c r="D712" s="2" t="inlineStr">
        <is>
          <t>Operação, Produção e UX</t>
        </is>
      </c>
      <c r="E712" s="4" t="inlineStr">
        <is>
          <t>Pendente</t>
        </is>
      </c>
      <c r="F712" s="4" t="inlineStr"/>
      <c r="G712" s="2">
        <f>IF(AND(E712="Concluída",LEN(TRIM(F712))&gt;0),1,0)</f>
        <v/>
      </c>
      <c r="H712" s="4" t="inlineStr"/>
    </row>
    <row r="713" ht="54" customHeight="1">
      <c r="A713" s="2" t="inlineStr">
        <is>
          <t>E072</t>
        </is>
      </c>
      <c r="B713" s="2" t="inlineStr">
        <is>
          <t>E072.02</t>
        </is>
      </c>
      <c r="C713" s="2" t="inlineStr">
        <is>
          <t>Vincular início de produção aos pré-requisitos comerciais e técnicos.</t>
        </is>
      </c>
      <c r="D713" s="2" t="inlineStr">
        <is>
          <t>Operação, Produção e UX</t>
        </is>
      </c>
      <c r="E713" s="4" t="inlineStr">
        <is>
          <t>Pendente</t>
        </is>
      </c>
      <c r="F713" s="4" t="inlineStr"/>
      <c r="G713" s="2">
        <f>IF(AND(E713="Concluída",LEN(TRIM(F713))&gt;0),1,0)</f>
        <v/>
      </c>
      <c r="H713" s="4" t="inlineStr"/>
    </row>
    <row r="714" ht="54" customHeight="1">
      <c r="A714" s="2" t="inlineStr">
        <is>
          <t>E072</t>
        </is>
      </c>
      <c r="B714" s="2" t="inlineStr">
        <is>
          <t>E072.03</t>
        </is>
      </c>
      <c r="C714" s="2" t="inlineStr">
        <is>
          <t>Registrar confirmação de materiais e configuração de personalização.</t>
        </is>
      </c>
      <c r="D714" s="2" t="inlineStr">
        <is>
          <t>Operação, Produção e UX</t>
        </is>
      </c>
      <c r="E714" s="4" t="inlineStr">
        <is>
          <t>Pendente</t>
        </is>
      </c>
      <c r="F714" s="4" t="inlineStr"/>
      <c r="G714" s="2">
        <f>IF(AND(E714="Concluída",LEN(TRIM(F714))&gt;0),1,0)</f>
        <v/>
      </c>
      <c r="H714" s="4" t="inlineStr"/>
    </row>
    <row r="715" ht="54" customHeight="1">
      <c r="A715" s="2" t="inlineStr">
        <is>
          <t>E072</t>
        </is>
      </c>
      <c r="B715" s="2" t="inlineStr">
        <is>
          <t>E072.04</t>
        </is>
      </c>
      <c r="C715" s="2" t="inlineStr">
        <is>
          <t>Definir necessidade de amostra física por técnica ou risco comercial.</t>
        </is>
      </c>
      <c r="D715" s="2" t="inlineStr">
        <is>
          <t>Operação, Produção e UX</t>
        </is>
      </c>
      <c r="E715" s="4" t="inlineStr">
        <is>
          <t>Pendente</t>
        </is>
      </c>
      <c r="F715" s="4" t="inlineStr"/>
      <c r="G715" s="2">
        <f>IF(AND(E715="Concluída",LEN(TRIM(F715))&gt;0),1,0)</f>
        <v/>
      </c>
      <c r="H715" s="4" t="inlineStr"/>
    </row>
    <row r="716" ht="54" customHeight="1">
      <c r="A716" s="2" t="inlineStr">
        <is>
          <t>E072</t>
        </is>
      </c>
      <c r="B716" s="2" t="inlineStr">
        <is>
          <t>E072.05</t>
        </is>
      </c>
      <c r="C716" s="2" t="inlineStr">
        <is>
          <t>Relacionar inspeção de qualidade à especificação aprovada.</t>
        </is>
      </c>
      <c r="D716" s="2" t="inlineStr">
        <is>
          <t>Operação, Produção e UX</t>
        </is>
      </c>
      <c r="E716" s="4" t="inlineStr">
        <is>
          <t>Pendente</t>
        </is>
      </c>
      <c r="F716" s="4" t="inlineStr"/>
      <c r="G716" s="2">
        <f>IF(AND(E716="Concluída",LEN(TRIM(F716))&gt;0),1,0)</f>
        <v/>
      </c>
      <c r="H716" s="4" t="inlineStr"/>
    </row>
    <row r="717" ht="54" customHeight="1">
      <c r="A717" s="2" t="inlineStr">
        <is>
          <t>E072</t>
        </is>
      </c>
      <c r="B717" s="2" t="inlineStr">
        <is>
          <t>E072.06</t>
        </is>
      </c>
      <c r="C717" s="2" t="inlineStr">
        <is>
          <t>Registrar quantidade produzida, rejeitada e pendente quando disponível.</t>
        </is>
      </c>
      <c r="D717" s="2" t="inlineStr">
        <is>
          <t>Operação, Produção e UX</t>
        </is>
      </c>
      <c r="E717" s="4" t="inlineStr">
        <is>
          <t>Pendente</t>
        </is>
      </c>
      <c r="F717" s="4" t="inlineStr"/>
      <c r="G717" s="2">
        <f>IF(AND(E717="Concluída",LEN(TRIM(F717))&gt;0),1,0)</f>
        <v/>
      </c>
      <c r="H717" s="4" t="inlineStr"/>
    </row>
    <row r="718" ht="54" customHeight="1">
      <c r="A718" s="2" t="inlineStr">
        <is>
          <t>E072</t>
        </is>
      </c>
      <c r="B718" s="2" t="inlineStr">
        <is>
          <t>E072.07</t>
        </is>
      </c>
      <c r="C718" s="2" t="inlineStr">
        <is>
          <t>Tratar atraso ou retrabalho com impacto explícito sobre a entrega.</t>
        </is>
      </c>
      <c r="D718" s="2" t="inlineStr">
        <is>
          <t>Operação, Produção e UX</t>
        </is>
      </c>
      <c r="E718" s="4" t="inlineStr">
        <is>
          <t>Pendente</t>
        </is>
      </c>
      <c r="F718" s="4" t="inlineStr"/>
      <c r="G718" s="2">
        <f>IF(AND(E718="Concluída",LEN(TRIM(F718))&gt;0),1,0)</f>
        <v/>
      </c>
      <c r="H718" s="4" t="inlineStr"/>
    </row>
    <row r="719" ht="54" customHeight="1">
      <c r="A719" s="2" t="inlineStr">
        <is>
          <t>E072</t>
        </is>
      </c>
      <c r="B719" s="2" t="inlineStr">
        <is>
          <t>E072.08</t>
        </is>
      </c>
      <c r="C719" s="2" t="inlineStr">
        <is>
          <t>Impedir que uma simulação de mockup seja usada como inspeção física.</t>
        </is>
      </c>
      <c r="D719" s="2" t="inlineStr">
        <is>
          <t>Operação, Produção e UX</t>
        </is>
      </c>
      <c r="E719" s="4" t="inlineStr">
        <is>
          <t>Pendente</t>
        </is>
      </c>
      <c r="F719" s="4" t="inlineStr"/>
      <c r="G719" s="2">
        <f>IF(AND(E719="Concluída",LEN(TRIM(F719))&gt;0),1,0)</f>
        <v/>
      </c>
      <c r="H719" s="4" t="inlineStr"/>
    </row>
    <row r="720" ht="54" customHeight="1">
      <c r="A720" s="2" t="inlineStr">
        <is>
          <t>E072</t>
        </is>
      </c>
      <c r="B720" s="2" t="inlineStr">
        <is>
          <t>E072.09</t>
        </is>
      </c>
      <c r="C720" s="2" t="inlineStr">
        <is>
          <t>Atualizar responsáveis do portal sobre mudanças confirmadas.</t>
        </is>
      </c>
      <c r="D720" s="2" t="inlineStr">
        <is>
          <t>Operação, Produção e UX</t>
        </is>
      </c>
      <c r="E720" s="4" t="inlineStr">
        <is>
          <t>Pendente</t>
        </is>
      </c>
      <c r="F720" s="4" t="inlineStr"/>
      <c r="G720" s="2">
        <f>IF(AND(E720="Concluída",LEN(TRIM(F720))&gt;0),1,0)</f>
        <v/>
      </c>
      <c r="H720" s="4" t="inlineStr"/>
    </row>
    <row r="721" ht="54" customHeight="1">
      <c r="A721" s="2" t="inlineStr">
        <is>
          <t>E072</t>
        </is>
      </c>
      <c r="B721" s="2" t="inlineStr">
        <is>
          <t>E072.10</t>
        </is>
      </c>
      <c r="C721" s="2" t="inlineStr">
        <is>
          <t>Validar rastreabilidade entre arte aprovada, lote produzido e inspeção realizada.</t>
        </is>
      </c>
      <c r="D721" s="2" t="inlineStr">
        <is>
          <t>Operação, Produção e UX</t>
        </is>
      </c>
      <c r="E721" s="4" t="inlineStr">
        <is>
          <t>Pendente</t>
        </is>
      </c>
      <c r="F721" s="4" t="inlineStr"/>
      <c r="G721" s="2">
        <f>IF(AND(E721="Concluída",LEN(TRIM(F721))&gt;0),1,0)</f>
        <v/>
      </c>
      <c r="H721" s="4" t="inlineStr"/>
    </row>
    <row r="722" ht="54" customHeight="1">
      <c r="A722" s="2" t="inlineStr">
        <is>
          <t>E073</t>
        </is>
      </c>
      <c r="B722" s="2" t="inlineStr">
        <is>
          <t>E073.01</t>
        </is>
      </c>
      <c r="C722" s="2" t="inlineStr">
        <is>
          <t>Definir em qual momento a disponibilidade precisa ser reconfirmada.</t>
        </is>
      </c>
      <c r="D722" s="2" t="inlineStr">
        <is>
          <t>Comercial, Operação e Backend</t>
        </is>
      </c>
      <c r="E722" s="4" t="inlineStr">
        <is>
          <t>Pendente</t>
        </is>
      </c>
      <c r="F722" s="4" t="inlineStr"/>
      <c r="G722" s="2">
        <f>IF(AND(E722="Concluída",LEN(TRIM(F722))&gt;0),1,0)</f>
        <v/>
      </c>
      <c r="H722" s="4" t="inlineStr"/>
    </row>
    <row r="723" ht="54" customHeight="1">
      <c r="A723" s="2" t="inlineStr">
        <is>
          <t>E073</t>
        </is>
      </c>
      <c r="B723" s="2" t="inlineStr">
        <is>
          <t>E073.02</t>
        </is>
      </c>
      <c r="C723" s="2" t="inlineStr">
        <is>
          <t>Registrar produto, variante, quantidade e horário da nova consulta.</t>
        </is>
      </c>
      <c r="D723" s="2" t="inlineStr">
        <is>
          <t>Comercial, Operação e Backend</t>
        </is>
      </c>
      <c r="E723" s="4" t="inlineStr">
        <is>
          <t>Pendente</t>
        </is>
      </c>
      <c r="F723" s="4" t="inlineStr"/>
      <c r="G723" s="2">
        <f>IF(AND(E723="Concluída",LEN(TRIM(F723))&gt;0),1,0)</f>
        <v/>
      </c>
      <c r="H723" s="4" t="inlineStr"/>
    </row>
    <row r="724" ht="54" customHeight="1">
      <c r="A724" s="2" t="inlineStr">
        <is>
          <t>E073</t>
        </is>
      </c>
      <c r="B724" s="2" t="inlineStr">
        <is>
          <t>E073.03</t>
        </is>
      </c>
      <c r="C724" s="2" t="inlineStr">
        <is>
          <t>Separar estoque informado de compromisso assumido pelo fornecedor.</t>
        </is>
      </c>
      <c r="D724" s="2" t="inlineStr">
        <is>
          <t>Comercial, Operação e Backend</t>
        </is>
      </c>
      <c r="E724" s="4" t="inlineStr">
        <is>
          <t>Pendente</t>
        </is>
      </c>
      <c r="F724" s="4" t="inlineStr"/>
      <c r="G724" s="2">
        <f>IF(AND(E724="Concluída",LEN(TRIM(F724))&gt;0),1,0)</f>
        <v/>
      </c>
      <c r="H724" s="4" t="inlineStr"/>
    </row>
    <row r="725" ht="54" customHeight="1">
      <c r="A725" s="2" t="inlineStr">
        <is>
          <t>E073</t>
        </is>
      </c>
      <c r="B725" s="2" t="inlineStr">
        <is>
          <t>E073.04</t>
        </is>
      </c>
      <c r="C725" s="2" t="inlineStr">
        <is>
          <t>Definir processo operacional autorizado de confirmação fora do catálogo mestre.</t>
        </is>
      </c>
      <c r="D725" s="2" t="inlineStr">
        <is>
          <t>Comercial, Operação e Backend</t>
        </is>
      </c>
      <c r="E725" s="4" t="inlineStr">
        <is>
          <t>Pendente</t>
        </is>
      </c>
      <c r="F725" s="4" t="inlineStr"/>
      <c r="G725" s="2">
        <f>IF(AND(E725="Concluída",LEN(TRIM(F725))&gt;0),1,0)</f>
        <v/>
      </c>
      <c r="H725" s="4" t="inlineStr"/>
    </row>
    <row r="726" ht="54" customHeight="1">
      <c r="A726" s="2" t="inlineStr">
        <is>
          <t>E073</t>
        </is>
      </c>
      <c r="B726" s="2" t="inlineStr">
        <is>
          <t>E073.05</t>
        </is>
      </c>
      <c r="C726" s="2" t="inlineStr">
        <is>
          <t>Guardar no portal a evidência da confirmação comercial obtida.</t>
        </is>
      </c>
      <c r="D726" s="2" t="inlineStr">
        <is>
          <t>Comercial, Operação e Backend</t>
        </is>
      </c>
      <c r="E726" s="4" t="inlineStr">
        <is>
          <t>Pendente</t>
        </is>
      </c>
      <c r="F726" s="4" t="inlineStr"/>
      <c r="G726" s="2">
        <f>IF(AND(E726="Concluída",LEN(TRIM(F726))&gt;0),1,0)</f>
        <v/>
      </c>
      <c r="H726" s="4" t="inlineStr"/>
    </row>
    <row r="727" ht="54" customHeight="1">
      <c r="A727" s="2" t="inlineStr">
        <is>
          <t>E073</t>
        </is>
      </c>
      <c r="B727" s="2" t="inlineStr">
        <is>
          <t>E073.06</t>
        </is>
      </c>
      <c r="C727" s="2" t="inlineStr">
        <is>
          <t>Detectar mudança de oferta entre proposta e liberação de produção.</t>
        </is>
      </c>
      <c r="D727" s="2" t="inlineStr">
        <is>
          <t>Comercial, Operação e Backend</t>
        </is>
      </c>
      <c r="E727" s="4" t="inlineStr">
        <is>
          <t>Pendente</t>
        </is>
      </c>
      <c r="F727" s="4" t="inlineStr"/>
      <c r="G727" s="2">
        <f>IF(AND(E727="Concluída",LEN(TRIM(F727))&gt;0),1,0)</f>
        <v/>
      </c>
      <c r="H727" s="4" t="inlineStr"/>
    </row>
    <row r="728" ht="54" customHeight="1">
      <c r="A728" s="2" t="inlineStr">
        <is>
          <t>E073</t>
        </is>
      </c>
      <c r="B728" s="2" t="inlineStr">
        <is>
          <t>E073.07</t>
        </is>
      </c>
      <c r="C728" s="2" t="inlineStr">
        <is>
          <t>Oferecer alternativa sujeita a nova aprovação de preço e arte.</t>
        </is>
      </c>
      <c r="D728" s="2" t="inlineStr">
        <is>
          <t>Comercial, Operação e Backend</t>
        </is>
      </c>
      <c r="E728" s="4" t="inlineStr">
        <is>
          <t>Pendente</t>
        </is>
      </c>
      <c r="F728" s="4" t="inlineStr"/>
      <c r="G728" s="2">
        <f>IF(AND(E728="Concluída",LEN(TRIM(F728))&gt;0),1,0)</f>
        <v/>
      </c>
      <c r="H728" s="4" t="inlineStr"/>
    </row>
    <row r="729" ht="54" customHeight="1">
      <c r="A729" s="2" t="inlineStr">
        <is>
          <t>E073</t>
        </is>
      </c>
      <c r="B729" s="2" t="inlineStr">
        <is>
          <t>E073.08</t>
        </is>
      </c>
      <c r="C729" s="2" t="inlineStr">
        <is>
          <t>Comunicar indisponibilidade com ação e responsável claros.</t>
        </is>
      </c>
      <c r="D729" s="2" t="inlineStr">
        <is>
          <t>Comercial, Operação e Backend</t>
        </is>
      </c>
      <c r="E729" s="4" t="inlineStr">
        <is>
          <t>Pendente</t>
        </is>
      </c>
      <c r="F729" s="4" t="inlineStr"/>
      <c r="G729" s="2">
        <f>IF(AND(E729="Concluída",LEN(TRIM(F729))&gt;0),1,0)</f>
        <v/>
      </c>
      <c r="H729" s="4" t="inlineStr"/>
    </row>
    <row r="730" ht="54" customHeight="1">
      <c r="A730" s="2" t="inlineStr">
        <is>
          <t>E073</t>
        </is>
      </c>
      <c r="B730" s="2" t="inlineStr">
        <is>
          <t>E073.09</t>
        </is>
      </c>
      <c r="C730" s="2" t="inlineStr">
        <is>
          <t>Manter vedada qualquer baixa ou reserva no banco externo por esta integração.</t>
        </is>
      </c>
      <c r="D730" s="2" t="inlineStr">
        <is>
          <t>Comercial, Operação e Backend</t>
        </is>
      </c>
      <c r="E730" s="4" t="inlineStr">
        <is>
          <t>Pendente</t>
        </is>
      </c>
      <c r="F730" s="4" t="inlineStr"/>
      <c r="G730" s="2">
        <f>IF(AND(E730="Concluída",LEN(TRIM(F730))&gt;0),1,0)</f>
        <v/>
      </c>
      <c r="H730" s="4" t="inlineStr"/>
    </row>
    <row r="731" ht="54" customHeight="1">
      <c r="A731" s="2" t="inlineStr">
        <is>
          <t>E073</t>
        </is>
      </c>
      <c r="B731" s="2" t="inlineStr">
        <is>
          <t>E073.10</t>
        </is>
      </c>
      <c r="C731" s="2" t="inlineStr">
        <is>
          <t>Simular redução de disponibilidade e comprovar tratamento sem gravação no mestre.</t>
        </is>
      </c>
      <c r="D731" s="2" t="inlineStr">
        <is>
          <t>Comercial, Operação e Backend</t>
        </is>
      </c>
      <c r="E731" s="4" t="inlineStr">
        <is>
          <t>Pendente</t>
        </is>
      </c>
      <c r="F731" s="4" t="inlineStr"/>
      <c r="G731" s="2">
        <f>IF(AND(E731="Concluída",LEN(TRIM(F731))&gt;0),1,0)</f>
        <v/>
      </c>
      <c r="H731" s="4" t="inlineStr"/>
    </row>
    <row r="732" ht="54" customHeight="1">
      <c r="A732" s="2" t="inlineStr">
        <is>
          <t>E074</t>
        </is>
      </c>
      <c r="B732" s="2" t="inlineStr">
        <is>
          <t>E074.01</t>
        </is>
      </c>
      <c r="C732" s="2" t="inlineStr">
        <is>
          <t>Conferir destinos, responsáveis e restrições de recebimento aprovados.</t>
        </is>
      </c>
      <c r="D732" s="2" t="inlineStr">
        <is>
          <t>Logística, UX e Backend</t>
        </is>
      </c>
      <c r="E732" s="4" t="inlineStr">
        <is>
          <t>Pendente</t>
        </is>
      </c>
      <c r="F732" s="4" t="inlineStr"/>
      <c r="G732" s="2">
        <f>IF(AND(E732="Concluída",LEN(TRIM(F732))&gt;0),1,0)</f>
        <v/>
      </c>
      <c r="H732" s="4" t="inlineStr"/>
    </row>
    <row r="733" ht="54" customHeight="1">
      <c r="A733" s="2" t="inlineStr">
        <is>
          <t>E074</t>
        </is>
      </c>
      <c r="B733" s="2" t="inlineStr">
        <is>
          <t>E074.02</t>
        </is>
      </c>
      <c r="C733" s="2" t="inlineStr">
        <is>
          <t>Relacionar itens e quantidades a cada expedição planejada.</t>
        </is>
      </c>
      <c r="D733" s="2" t="inlineStr">
        <is>
          <t>Logística, UX e Backend</t>
        </is>
      </c>
      <c r="E733" s="4" t="inlineStr">
        <is>
          <t>Pendente</t>
        </is>
      </c>
      <c r="F733" s="4" t="inlineStr"/>
      <c r="G733" s="2">
        <f>IF(AND(E733="Concluída",LEN(TRIM(F733))&gt;0),1,0)</f>
        <v/>
      </c>
      <c r="H733" s="4" t="inlineStr"/>
    </row>
    <row r="734" ht="54" customHeight="1">
      <c r="A734" s="2" t="inlineStr">
        <is>
          <t>E074</t>
        </is>
      </c>
      <c r="B734" s="2" t="inlineStr">
        <is>
          <t>E074.03</t>
        </is>
      </c>
      <c r="C734" s="2" t="inlineStr">
        <is>
          <t>Separar remessas parciais sem perder saldo a expedir.</t>
        </is>
      </c>
      <c r="D734" s="2" t="inlineStr">
        <is>
          <t>Logística, UX e Backend</t>
        </is>
      </c>
      <c r="E734" s="4" t="inlineStr">
        <is>
          <t>Pendente</t>
        </is>
      </c>
      <c r="F734" s="4" t="inlineStr"/>
      <c r="G734" s="2">
        <f>IF(AND(E734="Concluída",LEN(TRIM(F734))&gt;0),1,0)</f>
        <v/>
      </c>
      <c r="H734" s="4" t="inlineStr"/>
    </row>
    <row r="735" ht="54" customHeight="1">
      <c r="A735" s="2" t="inlineStr">
        <is>
          <t>E074</t>
        </is>
      </c>
      <c r="B735" s="2" t="inlineStr">
        <is>
          <t>E074.04</t>
        </is>
      </c>
      <c r="C735" s="2" t="inlineStr">
        <is>
          <t>Registrar transportadora ou modalidade de entrega confirmada.</t>
        </is>
      </c>
      <c r="D735" s="2" t="inlineStr">
        <is>
          <t>Logística, UX e Backend</t>
        </is>
      </c>
      <c r="E735" s="4" t="inlineStr">
        <is>
          <t>Pendente</t>
        </is>
      </c>
      <c r="F735" s="4" t="inlineStr"/>
      <c r="G735" s="2">
        <f>IF(AND(E735="Concluída",LEN(TRIM(F735))&gt;0),1,0)</f>
        <v/>
      </c>
      <c r="H735" s="4" t="inlineStr"/>
    </row>
    <row r="736" ht="54" customHeight="1">
      <c r="A736" s="2" t="inlineStr">
        <is>
          <t>E074</t>
        </is>
      </c>
      <c r="B736" s="2" t="inlineStr">
        <is>
          <t>E074.05</t>
        </is>
      </c>
      <c r="C736" s="2" t="inlineStr">
        <is>
          <t>Validar endereço e contato operacional antes da emissão dos documentos.</t>
        </is>
      </c>
      <c r="D736" s="2" t="inlineStr">
        <is>
          <t>Logística, UX e Backend</t>
        </is>
      </c>
      <c r="E736" s="4" t="inlineStr">
        <is>
          <t>Pendente</t>
        </is>
      </c>
      <c r="F736" s="4" t="inlineStr"/>
      <c r="G736" s="2">
        <f>IF(AND(E736="Concluída",LEN(TRIM(F736))&gt;0),1,0)</f>
        <v/>
      </c>
      <c r="H736" s="4" t="inlineStr"/>
    </row>
    <row r="737" ht="54" customHeight="1">
      <c r="A737" s="2" t="inlineStr">
        <is>
          <t>E074</t>
        </is>
      </c>
      <c r="B737" s="2" t="inlineStr">
        <is>
          <t>E074.06</t>
        </is>
      </c>
      <c r="C737" s="2" t="inlineStr">
        <is>
          <t>Associar volumes, etiquetas e documentos necessários à remessa.</t>
        </is>
      </c>
      <c r="D737" s="2" t="inlineStr">
        <is>
          <t>Logística, UX e Backend</t>
        </is>
      </c>
      <c r="E737" s="4" t="inlineStr">
        <is>
          <t>Pendente</t>
        </is>
      </c>
      <c r="F737" s="4" t="inlineStr"/>
      <c r="G737" s="2">
        <f>IF(AND(E737="Concluída",LEN(TRIM(F737))&gt;0),1,0)</f>
        <v/>
      </c>
      <c r="H737" s="4" t="inlineStr"/>
    </row>
    <row r="738" ht="54" customHeight="1">
      <c r="A738" s="2" t="inlineStr">
        <is>
          <t>E074</t>
        </is>
      </c>
      <c r="B738" s="2" t="inlineStr">
        <is>
          <t>E074.07</t>
        </is>
      </c>
      <c r="C738" s="2" t="inlineStr">
        <is>
          <t>Registrar data de saída e previsão efetiva informada pelo operador.</t>
        </is>
      </c>
      <c r="D738" s="2" t="inlineStr">
        <is>
          <t>Logística, UX e Backend</t>
        </is>
      </c>
      <c r="E738" s="4" t="inlineStr">
        <is>
          <t>Pendente</t>
        </is>
      </c>
      <c r="F738" s="4" t="inlineStr"/>
      <c r="G738" s="2">
        <f>IF(AND(E738="Concluída",LEN(TRIM(F738))&gt;0),1,0)</f>
        <v/>
      </c>
      <c r="H738" s="4" t="inlineStr"/>
    </row>
    <row r="739" ht="54" customHeight="1">
      <c r="A739" s="2" t="inlineStr">
        <is>
          <t>E074</t>
        </is>
      </c>
      <c r="B739" s="2" t="inlineStr">
        <is>
          <t>E074.08</t>
        </is>
      </c>
      <c r="C739" s="2" t="inlineStr">
        <is>
          <t>Restringir alteração de destino após expedição conforme processo contratado.</t>
        </is>
      </c>
      <c r="D739" s="2" t="inlineStr">
        <is>
          <t>Logística, UX e Backend</t>
        </is>
      </c>
      <c r="E739" s="4" t="inlineStr">
        <is>
          <t>Pendente</t>
        </is>
      </c>
      <c r="F739" s="4" t="inlineStr"/>
      <c r="G739" s="2">
        <f>IF(AND(E739="Concluída",LEN(TRIM(F739))&gt;0),1,0)</f>
        <v/>
      </c>
      <c r="H739" s="4" t="inlineStr"/>
    </row>
    <row r="740" ht="54" customHeight="1">
      <c r="A740" s="2" t="inlineStr">
        <is>
          <t>E074</t>
        </is>
      </c>
      <c r="B740" s="2" t="inlineStr">
        <is>
          <t>E074.09</t>
        </is>
      </c>
      <c r="C740" s="2" t="inlineStr">
        <is>
          <t>Tratar erro de endereço com responsável e histórico de correção.</t>
        </is>
      </c>
      <c r="D740" s="2" t="inlineStr">
        <is>
          <t>Logística, UX e Backend</t>
        </is>
      </c>
      <c r="E740" s="4" t="inlineStr">
        <is>
          <t>Pendente</t>
        </is>
      </c>
      <c r="F740" s="4" t="inlineStr"/>
      <c r="G740" s="2">
        <f>IF(AND(E740="Concluída",LEN(TRIM(F740))&gt;0),1,0)</f>
        <v/>
      </c>
      <c r="H740" s="4" t="inlineStr"/>
    </row>
    <row r="741" ht="54" customHeight="1">
      <c r="A741" s="2" t="inlineStr">
        <is>
          <t>E074</t>
        </is>
      </c>
      <c r="B741" s="2" t="inlineStr">
        <is>
          <t>E074.10</t>
        </is>
      </c>
      <c r="C741" s="2" t="inlineStr">
        <is>
          <t>Conferir expedição de exemplo com múltiplos PAs e remessa parcial.</t>
        </is>
      </c>
      <c r="D741" s="2" t="inlineStr">
        <is>
          <t>Logística, UX e Backend</t>
        </is>
      </c>
      <c r="E741" s="4" t="inlineStr">
        <is>
          <t>Pendente</t>
        </is>
      </c>
      <c r="F741" s="4" t="inlineStr"/>
      <c r="G741" s="2">
        <f>IF(AND(E741="Concluída",LEN(TRIM(F741))&gt;0),1,0)</f>
        <v/>
      </c>
      <c r="H741" s="4" t="inlineStr"/>
    </row>
    <row r="742" ht="54" customHeight="1">
      <c r="A742" s="2" t="inlineStr">
        <is>
          <t>E075</t>
        </is>
      </c>
      <c r="B742" s="2" t="inlineStr">
        <is>
          <t>E075.01</t>
        </is>
      </c>
      <c r="C742" s="2" t="inlineStr">
        <is>
          <t>Apresentar cada destino com itens, quantidade e situação da entrega.</t>
        </is>
      </c>
      <c r="D742" s="2" t="inlineStr">
        <is>
          <t>UX, Logística e Frontend</t>
        </is>
      </c>
      <c r="E742" s="4" t="inlineStr">
        <is>
          <t>Pendente</t>
        </is>
      </c>
      <c r="F742" s="4" t="inlineStr"/>
      <c r="G742" s="2">
        <f>IF(AND(E742="Concluída",LEN(TRIM(F742))&gt;0),1,0)</f>
        <v/>
      </c>
      <c r="H742" s="4" t="inlineStr"/>
    </row>
    <row r="743" ht="54" customHeight="1">
      <c r="A743" s="2" t="inlineStr">
        <is>
          <t>E075</t>
        </is>
      </c>
      <c r="B743" s="2" t="inlineStr">
        <is>
          <t>E075.02</t>
        </is>
      </c>
      <c r="C743" s="2" t="inlineStr">
        <is>
          <t>Vincular código de rastreio e fonte de informação da transportadora.</t>
        </is>
      </c>
      <c r="D743" s="2" t="inlineStr">
        <is>
          <t>UX, Logística e Frontend</t>
        </is>
      </c>
      <c r="E743" s="4" t="inlineStr">
        <is>
          <t>Pendente</t>
        </is>
      </c>
      <c r="F743" s="4" t="inlineStr"/>
      <c r="G743" s="2">
        <f>IF(AND(E743="Concluída",LEN(TRIM(F743))&gt;0),1,0)</f>
        <v/>
      </c>
      <c r="H743" s="4" t="inlineStr"/>
    </row>
    <row r="744" ht="54" customHeight="1">
      <c r="A744" s="2" t="inlineStr">
        <is>
          <t>E075</t>
        </is>
      </c>
      <c r="B744" s="2" t="inlineStr">
        <is>
          <t>E075.03</t>
        </is>
      </c>
      <c r="C744" s="2" t="inlineStr">
        <is>
          <t>Mostrar data e horário da última atualização recebida.</t>
        </is>
      </c>
      <c r="D744" s="2" t="inlineStr">
        <is>
          <t>UX, Logística e Frontend</t>
        </is>
      </c>
      <c r="E744" s="4" t="inlineStr">
        <is>
          <t>Pendente</t>
        </is>
      </c>
      <c r="F744" s="4" t="inlineStr"/>
      <c r="G744" s="2">
        <f>IF(AND(E744="Concluída",LEN(TRIM(F744))&gt;0),1,0)</f>
        <v/>
      </c>
      <c r="H744" s="4" t="inlineStr"/>
    </row>
    <row r="745" ht="54" customHeight="1">
      <c r="A745" s="2" t="inlineStr">
        <is>
          <t>E075</t>
        </is>
      </c>
      <c r="B745" s="2" t="inlineStr">
        <is>
          <t>E075.04</t>
        </is>
      </c>
      <c r="C745" s="2" t="inlineStr">
        <is>
          <t>Distinguir previsão da transportadora de data necessária para o evento.</t>
        </is>
      </c>
      <c r="D745" s="2" t="inlineStr">
        <is>
          <t>UX, Logística e Frontend</t>
        </is>
      </c>
      <c r="E745" s="4" t="inlineStr">
        <is>
          <t>Pendente</t>
        </is>
      </c>
      <c r="F745" s="4" t="inlineStr"/>
      <c r="G745" s="2">
        <f>IF(AND(E745="Concluída",LEN(TRIM(F745))&gt;0),1,0)</f>
        <v/>
      </c>
      <c r="H745" s="4" t="inlineStr"/>
    </row>
    <row r="746" ht="54" customHeight="1">
      <c r="A746" s="2" t="inlineStr">
        <is>
          <t>E075</t>
        </is>
      </c>
      <c r="B746" s="2" t="inlineStr">
        <is>
          <t>E075.05</t>
        </is>
      </c>
      <c r="C746" s="2" t="inlineStr">
        <is>
          <t>Registrar eventos de tentativa, atraso e problema de endereço.</t>
        </is>
      </c>
      <c r="D746" s="2" t="inlineStr">
        <is>
          <t>UX, Logística e Frontend</t>
        </is>
      </c>
      <c r="E746" s="4" t="inlineStr">
        <is>
          <t>Pendente</t>
        </is>
      </c>
      <c r="F746" s="4" t="inlineStr"/>
      <c r="G746" s="2">
        <f>IF(AND(E746="Concluída",LEN(TRIM(F746))&gt;0),1,0)</f>
        <v/>
      </c>
      <c r="H746" s="4" t="inlineStr"/>
    </row>
    <row r="747" ht="54" customHeight="1">
      <c r="A747" s="2" t="inlineStr">
        <is>
          <t>E075</t>
        </is>
      </c>
      <c r="B747" s="2" t="inlineStr">
        <is>
          <t>E075.06</t>
        </is>
      </c>
      <c r="C747" s="2" t="inlineStr">
        <is>
          <t>Evitar inferir entrega apenas pela passagem do prazo estimado.</t>
        </is>
      </c>
      <c r="D747" s="2" t="inlineStr">
        <is>
          <t>UX, Logística e Frontend</t>
        </is>
      </c>
      <c r="E747" s="4" t="inlineStr">
        <is>
          <t>Pendente</t>
        </is>
      </c>
      <c r="F747" s="4" t="inlineStr"/>
      <c r="G747" s="2">
        <f>IF(AND(E747="Concluída",LEN(TRIM(F747))&gt;0),1,0)</f>
        <v/>
      </c>
      <c r="H747" s="4" t="inlineStr"/>
    </row>
    <row r="748" ht="54" customHeight="1">
      <c r="A748" s="2" t="inlineStr">
        <is>
          <t>E075</t>
        </is>
      </c>
      <c r="B748" s="2" t="inlineStr">
        <is>
          <t>E075.07</t>
        </is>
      </c>
      <c r="C748" s="2" t="inlineStr">
        <is>
          <t>Oferecer acompanhamento alternativo quando a integração estiver indisponível.</t>
        </is>
      </c>
      <c r="D748" s="2" t="inlineStr">
        <is>
          <t>UX, Logística e Frontend</t>
        </is>
      </c>
      <c r="E748" s="4" t="inlineStr">
        <is>
          <t>Pendente</t>
        </is>
      </c>
      <c r="F748" s="4" t="inlineStr"/>
      <c r="G748" s="2">
        <f>IF(AND(E748="Concluída",LEN(TRIM(F748))&gt;0),1,0)</f>
        <v/>
      </c>
      <c r="H748" s="4" t="inlineStr"/>
    </row>
    <row r="749" ht="54" customHeight="1">
      <c r="A749" s="2" t="inlineStr">
        <is>
          <t>E075</t>
        </is>
      </c>
      <c r="B749" s="2" t="inlineStr">
        <is>
          <t>E075.08</t>
        </is>
      </c>
      <c r="C749" s="2" t="inlineStr">
        <is>
          <t>Notificar somente alterações relevantes aos destinatários autorizados.</t>
        </is>
      </c>
      <c r="D749" s="2" t="inlineStr">
        <is>
          <t>UX, Logística e Frontend</t>
        </is>
      </c>
      <c r="E749" s="4" t="inlineStr">
        <is>
          <t>Pendente</t>
        </is>
      </c>
      <c r="F749" s="4" t="inlineStr"/>
      <c r="G749" s="2">
        <f>IF(AND(E749="Concluída",LEN(TRIM(F749))&gt;0),1,0)</f>
        <v/>
      </c>
      <c r="H749" s="4" t="inlineStr"/>
    </row>
    <row r="750" ht="54" customHeight="1">
      <c r="A750" s="2" t="inlineStr">
        <is>
          <t>E075</t>
        </is>
      </c>
      <c r="B750" s="2" t="inlineStr">
        <is>
          <t>E075.09</t>
        </is>
      </c>
      <c r="C750" s="2" t="inlineStr">
        <is>
          <t>Manter pedido parcialmente entregue enquanto houver destinos pendentes.</t>
        </is>
      </c>
      <c r="D750" s="2" t="inlineStr">
        <is>
          <t>UX, Logística e Frontend</t>
        </is>
      </c>
      <c r="E750" s="4" t="inlineStr">
        <is>
          <t>Pendente</t>
        </is>
      </c>
      <c r="F750" s="4" t="inlineStr"/>
      <c r="G750" s="2">
        <f>IF(AND(E750="Concluída",LEN(TRIM(F750))&gt;0),1,0)</f>
        <v/>
      </c>
      <c r="H750" s="4" t="inlineStr"/>
    </row>
    <row r="751" ht="54" customHeight="1">
      <c r="A751" s="2" t="inlineStr">
        <is>
          <t>E075</t>
        </is>
      </c>
      <c r="B751" s="2" t="inlineStr">
        <is>
          <t>E075.10</t>
        </is>
      </c>
      <c r="C751" s="2" t="inlineStr">
        <is>
          <t>Validar rastreio normal, atualização atrasada e transportadora sem integração.</t>
        </is>
      </c>
      <c r="D751" s="2" t="inlineStr">
        <is>
          <t>UX, Logística e Frontend</t>
        </is>
      </c>
      <c r="E751" s="4" t="inlineStr">
        <is>
          <t>Pendente</t>
        </is>
      </c>
      <c r="F751" s="4" t="inlineStr"/>
      <c r="G751" s="2">
        <f>IF(AND(E751="Concluída",LEN(TRIM(F751))&gt;0),1,0)</f>
        <v/>
      </c>
      <c r="H751" s="4" t="inlineStr"/>
    </row>
    <row r="752" ht="54" customHeight="1">
      <c r="A752" s="2" t="inlineStr">
        <is>
          <t>E076</t>
        </is>
      </c>
      <c r="B752" s="2" t="inlineStr">
        <is>
          <t>E076.01</t>
        </is>
      </c>
      <c r="C752" s="2" t="inlineStr">
        <is>
          <t>Definir quem pode confirmar recebimento em cada destino.</t>
        </is>
      </c>
      <c r="D752" s="2" t="inlineStr">
        <is>
          <t>Operação do PA, UX e Backend</t>
        </is>
      </c>
      <c r="E752" s="4" t="inlineStr">
        <is>
          <t>Pendente</t>
        </is>
      </c>
      <c r="F752" s="4" t="inlineStr"/>
      <c r="G752" s="2">
        <f>IF(AND(E752="Concluída",LEN(TRIM(F752))&gt;0),1,0)</f>
        <v/>
      </c>
      <c r="H752" s="4" t="inlineStr"/>
    </row>
    <row r="753" ht="54" customHeight="1">
      <c r="A753" s="2" t="inlineStr">
        <is>
          <t>E076</t>
        </is>
      </c>
      <c r="B753" s="2" t="inlineStr">
        <is>
          <t>E076.02</t>
        </is>
      </c>
      <c r="C753" s="2" t="inlineStr">
        <is>
          <t>Apresentar itens e quantidades esperados na remessa.</t>
        </is>
      </c>
      <c r="D753" s="2" t="inlineStr">
        <is>
          <t>Operação do PA, UX e Backend</t>
        </is>
      </c>
      <c r="E753" s="4" t="inlineStr">
        <is>
          <t>Pendente</t>
        </is>
      </c>
      <c r="F753" s="4" t="inlineStr"/>
      <c r="G753" s="2">
        <f>IF(AND(E753="Concluída",LEN(TRIM(F753))&gt;0),1,0)</f>
        <v/>
      </c>
      <c r="H753" s="4" t="inlineStr"/>
    </row>
    <row r="754" ht="54" customHeight="1">
      <c r="A754" s="2" t="inlineStr">
        <is>
          <t>E076</t>
        </is>
      </c>
      <c r="B754" s="2" t="inlineStr">
        <is>
          <t>E076.03</t>
        </is>
      </c>
      <c r="C754" s="2" t="inlineStr">
        <is>
          <t>Permitir informar quantidade recebida e quantidade pendente.</t>
        </is>
      </c>
      <c r="D754" s="2" t="inlineStr">
        <is>
          <t>Operação do PA, UX e Backend</t>
        </is>
      </c>
      <c r="E754" s="4" t="inlineStr">
        <is>
          <t>Pendente</t>
        </is>
      </c>
      <c r="F754" s="4" t="inlineStr"/>
      <c r="G754" s="2">
        <f>IF(AND(E754="Concluída",LEN(TRIM(F754))&gt;0),1,0)</f>
        <v/>
      </c>
      <c r="H754" s="4" t="inlineStr"/>
    </row>
    <row r="755" ht="54" customHeight="1">
      <c r="A755" s="2" t="inlineStr">
        <is>
          <t>E076</t>
        </is>
      </c>
      <c r="B755" s="2" t="inlineStr">
        <is>
          <t>E076.04</t>
        </is>
      </c>
      <c r="C755" s="2" t="inlineStr">
        <is>
          <t>Registrar data, responsável e documento de comprovação aplicável.</t>
        </is>
      </c>
      <c r="D755" s="2" t="inlineStr">
        <is>
          <t>Operação do PA, UX e Backend</t>
        </is>
      </c>
      <c r="E755" s="4" t="inlineStr">
        <is>
          <t>Pendente</t>
        </is>
      </c>
      <c r="F755" s="4" t="inlineStr"/>
      <c r="G755" s="2">
        <f>IF(AND(E755="Concluída",LEN(TRIM(F755))&gt;0),1,0)</f>
        <v/>
      </c>
      <c r="H755" s="4" t="inlineStr"/>
    </row>
    <row r="756" ht="54" customHeight="1">
      <c r="A756" s="2" t="inlineStr">
        <is>
          <t>E076</t>
        </is>
      </c>
      <c r="B756" s="2" t="inlineStr">
        <is>
          <t>E076.05</t>
        </is>
      </c>
      <c r="C756" s="2" t="inlineStr">
        <is>
          <t>Separar recebimento físico de aceite de qualidade quando necessário.</t>
        </is>
      </c>
      <c r="D756" s="2" t="inlineStr">
        <is>
          <t>Operação do PA, UX e Backend</t>
        </is>
      </c>
      <c r="E756" s="4" t="inlineStr">
        <is>
          <t>Pendente</t>
        </is>
      </c>
      <c r="F756" s="4" t="inlineStr"/>
      <c r="G756" s="2">
        <f>IF(AND(E756="Concluída",LEN(TRIM(F756))&gt;0),1,0)</f>
        <v/>
      </c>
      <c r="H756" s="4" t="inlineStr"/>
    </row>
    <row r="757" ht="54" customHeight="1">
      <c r="A757" s="2" t="inlineStr">
        <is>
          <t>E076</t>
        </is>
      </c>
      <c r="B757" s="2" t="inlineStr">
        <is>
          <t>E076.06</t>
        </is>
      </c>
      <c r="C757" s="2" t="inlineStr">
        <is>
          <t>Permitir evidência de avaria ou diferença sem expor dados desnecessários.</t>
        </is>
      </c>
      <c r="D757" s="2" t="inlineStr">
        <is>
          <t>Operação do PA, UX e Backend</t>
        </is>
      </c>
      <c r="E757" s="4" t="inlineStr">
        <is>
          <t>Pendente</t>
        </is>
      </c>
      <c r="F757" s="4" t="inlineStr"/>
      <c r="G757" s="2">
        <f>IF(AND(E757="Concluída",LEN(TRIM(F757))&gt;0),1,0)</f>
        <v/>
      </c>
      <c r="H757" s="4" t="inlineStr"/>
    </row>
    <row r="758" ht="54" customHeight="1">
      <c r="A758" s="2" t="inlineStr">
        <is>
          <t>E076</t>
        </is>
      </c>
      <c r="B758" s="2" t="inlineStr">
        <is>
          <t>E076.07</t>
        </is>
      </c>
      <c r="C758" s="2" t="inlineStr">
        <is>
          <t>Tratar remessa não reconhecida ou destinatário incorreto.</t>
        </is>
      </c>
      <c r="D758" s="2" t="inlineStr">
        <is>
          <t>Operação do PA, UX e Backend</t>
        </is>
      </c>
      <c r="E758" s="4" t="inlineStr">
        <is>
          <t>Pendente</t>
        </is>
      </c>
      <c r="F758" s="4" t="inlineStr"/>
      <c r="G758" s="2">
        <f>IF(AND(E758="Concluída",LEN(TRIM(F758))&gt;0),1,0)</f>
        <v/>
      </c>
      <c r="H758" s="4" t="inlineStr"/>
    </row>
    <row r="759" ht="54" customHeight="1">
      <c r="A759" s="2" t="inlineStr">
        <is>
          <t>E076</t>
        </is>
      </c>
      <c r="B759" s="2" t="inlineStr">
        <is>
          <t>E076.08</t>
        </is>
      </c>
      <c r="C759" s="2" t="inlineStr">
        <is>
          <t>Atualizar saldos entregues sem duplicar conferência reenviada.</t>
        </is>
      </c>
      <c r="D759" s="2" t="inlineStr">
        <is>
          <t>Operação do PA, UX e Backend</t>
        </is>
      </c>
      <c r="E759" s="4" t="inlineStr">
        <is>
          <t>Pendente</t>
        </is>
      </c>
      <c r="F759" s="4" t="inlineStr"/>
      <c r="G759" s="2">
        <f>IF(AND(E759="Concluída",LEN(TRIM(F759))&gt;0),1,0)</f>
        <v/>
      </c>
      <c r="H759" s="4" t="inlineStr"/>
    </row>
    <row r="760" ht="54" customHeight="1">
      <c r="A760" s="2" t="inlineStr">
        <is>
          <t>E076</t>
        </is>
      </c>
      <c r="B760" s="2" t="inlineStr">
        <is>
          <t>E076.09</t>
        </is>
      </c>
      <c r="C760" s="2" t="inlineStr">
        <is>
          <t>Manter pendências visíveis até sua resolução operacional.</t>
        </is>
      </c>
      <c r="D760" s="2" t="inlineStr">
        <is>
          <t>Operação do PA, UX e Backend</t>
        </is>
      </c>
      <c r="E760" s="4" t="inlineStr">
        <is>
          <t>Pendente</t>
        </is>
      </c>
      <c r="F760" s="4" t="inlineStr"/>
      <c r="G760" s="2">
        <f>IF(AND(E760="Concluída",LEN(TRIM(F760))&gt;0),1,0)</f>
        <v/>
      </c>
      <c r="H760" s="4" t="inlineStr"/>
    </row>
    <row r="761" ht="54" customHeight="1">
      <c r="A761" s="2" t="inlineStr">
        <is>
          <t>E076</t>
        </is>
      </c>
      <c r="B761" s="2" t="inlineStr">
        <is>
          <t>E076.10</t>
        </is>
      </c>
      <c r="C761" s="2" t="inlineStr">
        <is>
          <t>Validar recebimento completo, parcial e confirmação repetida no mesmo destino.</t>
        </is>
      </c>
      <c r="D761" s="2" t="inlineStr">
        <is>
          <t>Operação do PA, UX e Backend</t>
        </is>
      </c>
      <c r="E761" s="4" t="inlineStr">
        <is>
          <t>Pendente</t>
        </is>
      </c>
      <c r="F761" s="4" t="inlineStr"/>
      <c r="G761" s="2">
        <f>IF(AND(E761="Concluída",LEN(TRIM(F761))&gt;0),1,0)</f>
        <v/>
      </c>
      <c r="H761" s="4" t="inlineStr"/>
    </row>
    <row r="762" ht="54" customHeight="1">
      <c r="A762" s="2" t="inlineStr">
        <is>
          <t>E077</t>
        </is>
      </c>
      <c r="B762" s="2" t="inlineStr">
        <is>
          <t>E077.01</t>
        </is>
      </c>
      <c r="C762" s="2" t="inlineStr">
        <is>
          <t>Definir categorias de ocorrência compreensíveis para o recebedor.</t>
        </is>
      </c>
      <c r="D762" s="2" t="inlineStr">
        <is>
          <t>Atendimento, Logística e UX</t>
        </is>
      </c>
      <c r="E762" s="4" t="inlineStr">
        <is>
          <t>Pendente</t>
        </is>
      </c>
      <c r="F762" s="4" t="inlineStr"/>
      <c r="G762" s="2">
        <f>IF(AND(E762="Concluída",LEN(TRIM(F762))&gt;0),1,0)</f>
        <v/>
      </c>
      <c r="H762" s="4" t="inlineStr"/>
    </row>
    <row r="763" ht="54" customHeight="1">
      <c r="A763" s="2" t="inlineStr">
        <is>
          <t>E077</t>
        </is>
      </c>
      <c r="B763" s="2" t="inlineStr">
        <is>
          <t>E077.02</t>
        </is>
      </c>
      <c r="C763" s="2" t="inlineStr">
        <is>
          <t>Vincular reclamação ao item, quantidade e destino afetados.</t>
        </is>
      </c>
      <c r="D763" s="2" t="inlineStr">
        <is>
          <t>Atendimento, Logística e UX</t>
        </is>
      </c>
      <c r="E763" s="4" t="inlineStr">
        <is>
          <t>Pendente</t>
        </is>
      </c>
      <c r="F763" s="4" t="inlineStr"/>
      <c r="G763" s="2">
        <f>IF(AND(E763="Concluída",LEN(TRIM(F763))&gt;0),1,0)</f>
        <v/>
      </c>
      <c r="H763" s="4" t="inlineStr"/>
    </row>
    <row r="764" ht="54" customHeight="1">
      <c r="A764" s="2" t="inlineStr">
        <is>
          <t>E077</t>
        </is>
      </c>
      <c r="B764" s="2" t="inlineStr">
        <is>
          <t>E077.03</t>
        </is>
      </c>
      <c r="C764" s="2" t="inlineStr">
        <is>
          <t>Solicitar descrição e evidência proporcionais ao problema informado.</t>
        </is>
      </c>
      <c r="D764" s="2" t="inlineStr">
        <is>
          <t>Atendimento, Logística e UX</t>
        </is>
      </c>
      <c r="E764" s="4" t="inlineStr">
        <is>
          <t>Pendente</t>
        </is>
      </c>
      <c r="F764" s="4" t="inlineStr"/>
      <c r="G764" s="2">
        <f>IF(AND(E764="Concluída",LEN(TRIM(F764))&gt;0),1,0)</f>
        <v/>
      </c>
      <c r="H764" s="4" t="inlineStr"/>
    </row>
    <row r="765" ht="54" customHeight="1">
      <c r="A765" s="2" t="inlineStr">
        <is>
          <t>E077</t>
        </is>
      </c>
      <c r="B765" s="2" t="inlineStr">
        <is>
          <t>E077.04</t>
        </is>
      </c>
      <c r="C765" s="2" t="inlineStr">
        <is>
          <t>Gerar protocolo sem obrigar o comprador a repetir dados do pedido.</t>
        </is>
      </c>
      <c r="D765" s="2" t="inlineStr">
        <is>
          <t>Atendimento, Logística e UX</t>
        </is>
      </c>
      <c r="E765" s="4" t="inlineStr">
        <is>
          <t>Pendente</t>
        </is>
      </c>
      <c r="F765" s="4" t="inlineStr"/>
      <c r="G765" s="2">
        <f>IF(AND(E765="Concluída",LEN(TRIM(F765))&gt;0),1,0)</f>
        <v/>
      </c>
      <c r="H765" s="4" t="inlineStr"/>
    </row>
    <row r="766" ht="54" customHeight="1">
      <c r="A766" s="2" t="inlineStr">
        <is>
          <t>E077</t>
        </is>
      </c>
      <c r="B766" s="2" t="inlineStr">
        <is>
          <t>E077.05</t>
        </is>
      </c>
      <c r="C766" s="2" t="inlineStr">
        <is>
          <t>Definir responsável e prazo de retorno conforme o atendimento contratado.</t>
        </is>
      </c>
      <c r="D766" s="2" t="inlineStr">
        <is>
          <t>Atendimento, Logística e UX</t>
        </is>
      </c>
      <c r="E766" s="4" t="inlineStr">
        <is>
          <t>Pendente</t>
        </is>
      </c>
      <c r="F766" s="4" t="inlineStr"/>
      <c r="G766" s="2">
        <f>IF(AND(E766="Concluída",LEN(TRIM(F766))&gt;0),1,0)</f>
        <v/>
      </c>
      <c r="H766" s="4" t="inlineStr"/>
    </row>
    <row r="767" ht="54" customHeight="1">
      <c r="A767" s="2" t="inlineStr">
        <is>
          <t>E077</t>
        </is>
      </c>
      <c r="B767" s="2" t="inlineStr">
        <is>
          <t>E077.06</t>
        </is>
      </c>
      <c r="C767" s="2" t="inlineStr">
        <is>
          <t>Registrar investigação, comunicação e proposta de solução.</t>
        </is>
      </c>
      <c r="D767" s="2" t="inlineStr">
        <is>
          <t>Atendimento, Logística e UX</t>
        </is>
      </c>
      <c r="E767" s="4" t="inlineStr">
        <is>
          <t>Pendente</t>
        </is>
      </c>
      <c r="F767" s="4" t="inlineStr"/>
      <c r="G767" s="2">
        <f>IF(AND(E767="Concluída",LEN(TRIM(F767))&gt;0),1,0)</f>
        <v/>
      </c>
      <c r="H767" s="4" t="inlineStr"/>
    </row>
    <row r="768" ht="54" customHeight="1">
      <c r="A768" s="2" t="inlineStr">
        <is>
          <t>E077</t>
        </is>
      </c>
      <c r="B768" s="2" t="inlineStr">
        <is>
          <t>E077.07</t>
        </is>
      </c>
      <c r="C768" s="2" t="inlineStr">
        <is>
          <t>Tratar reposição, coleta, crédito ou ajuste conforme autorização comercial.</t>
        </is>
      </c>
      <c r="D768" s="2" t="inlineStr">
        <is>
          <t>Atendimento, Logística e UX</t>
        </is>
      </c>
      <c r="E768" s="4" t="inlineStr">
        <is>
          <t>Pendente</t>
        </is>
      </c>
      <c r="F768" s="4" t="inlineStr"/>
      <c r="G768" s="2">
        <f>IF(AND(E768="Concluída",LEN(TRIM(F768))&gt;0),1,0)</f>
        <v/>
      </c>
      <c r="H768" s="4" t="inlineStr"/>
    </row>
    <row r="769" ht="54" customHeight="1">
      <c r="A769" s="2" t="inlineStr">
        <is>
          <t>E077</t>
        </is>
      </c>
      <c r="B769" s="2" t="inlineStr">
        <is>
          <t>E077.08</t>
        </is>
      </c>
      <c r="C769" s="2" t="inlineStr">
        <is>
          <t>Atualizar pedido e verba apenas quando o evento correspondente for confirmado.</t>
        </is>
      </c>
      <c r="D769" s="2" t="inlineStr">
        <is>
          <t>Atendimento, Logística e UX</t>
        </is>
      </c>
      <c r="E769" s="4" t="inlineStr">
        <is>
          <t>Pendente</t>
        </is>
      </c>
      <c r="F769" s="4" t="inlineStr"/>
      <c r="G769" s="2">
        <f>IF(AND(E769="Concluída",LEN(TRIM(F769))&gt;0),1,0)</f>
        <v/>
      </c>
      <c r="H769" s="4" t="inlineStr"/>
    </row>
    <row r="770" ht="54" customHeight="1">
      <c r="A770" s="2" t="inlineStr">
        <is>
          <t>E077</t>
        </is>
      </c>
      <c r="B770" s="2" t="inlineStr">
        <is>
          <t>E077.09</t>
        </is>
      </c>
      <c r="C770" s="2" t="inlineStr">
        <is>
          <t>Permitir discordância ou reabertura justificada da solução proposta.</t>
        </is>
      </c>
      <c r="D770" s="2" t="inlineStr">
        <is>
          <t>Atendimento, Logística e UX</t>
        </is>
      </c>
      <c r="E770" s="4" t="inlineStr">
        <is>
          <t>Pendente</t>
        </is>
      </c>
      <c r="F770" s="4" t="inlineStr"/>
      <c r="G770" s="2">
        <f>IF(AND(E770="Concluída",LEN(TRIM(F770))&gt;0),1,0)</f>
        <v/>
      </c>
      <c r="H770" s="4" t="inlineStr"/>
    </row>
    <row r="771" ht="54" customHeight="1">
      <c r="A771" s="2" t="inlineStr">
        <is>
          <t>E077</t>
        </is>
      </c>
      <c r="B771" s="2" t="inlineStr">
        <is>
          <t>E077.10</t>
        </is>
      </c>
      <c r="C771" s="2" t="inlineStr">
        <is>
          <t>Validar uma avaria e uma falta parcial até sua resolução documentada.</t>
        </is>
      </c>
      <c r="D771" s="2" t="inlineStr">
        <is>
          <t>Atendimento, Logística e UX</t>
        </is>
      </c>
      <c r="E771" s="4" t="inlineStr">
        <is>
          <t>Pendente</t>
        </is>
      </c>
      <c r="F771" s="4" t="inlineStr"/>
      <c r="G771" s="2">
        <f>IF(AND(E771="Concluída",LEN(TRIM(F771))&gt;0),1,0)</f>
        <v/>
      </c>
      <c r="H771" s="4" t="inlineStr"/>
    </row>
    <row r="772" ht="54" customHeight="1">
      <c r="A772" s="2" t="inlineStr">
        <is>
          <t>E078</t>
        </is>
      </c>
      <c r="B772" s="2" t="inlineStr">
        <is>
          <t>E078.01</t>
        </is>
      </c>
      <c r="C772" s="2" t="inlineStr">
        <is>
          <t>Definir documentos exigidos pela condição comercial de cada cooperativa.</t>
        </is>
      </c>
      <c r="D772" s="2" t="inlineStr">
        <is>
          <t>Financeiro, Compras e Backend</t>
        </is>
      </c>
      <c r="E772" s="4" t="inlineStr">
        <is>
          <t>Pendente</t>
        </is>
      </c>
      <c r="F772" s="4" t="inlineStr"/>
      <c r="G772" s="2">
        <f>IF(AND(E772="Concluída",LEN(TRIM(F772))&gt;0),1,0)</f>
        <v/>
      </c>
      <c r="H772" s="4" t="inlineStr"/>
    </row>
    <row r="773" ht="54" customHeight="1">
      <c r="A773" s="2" t="inlineStr">
        <is>
          <t>E078</t>
        </is>
      </c>
      <c r="B773" s="2" t="inlineStr">
        <is>
          <t>E078.02</t>
        </is>
      </c>
      <c r="C773" s="2" t="inlineStr">
        <is>
          <t>Relacionar nota fiscal, fornecedor, pedido e remessa correspondentes.</t>
        </is>
      </c>
      <c r="D773" s="2" t="inlineStr">
        <is>
          <t>Financeiro, Compras e Backend</t>
        </is>
      </c>
      <c r="E773" s="4" t="inlineStr">
        <is>
          <t>Pendente</t>
        </is>
      </c>
      <c r="F773" s="4" t="inlineStr"/>
      <c r="G773" s="2">
        <f>IF(AND(E773="Concluída",LEN(TRIM(F773))&gt;0),1,0)</f>
        <v/>
      </c>
      <c r="H773" s="4" t="inlineStr"/>
    </row>
    <row r="774" ht="54" customHeight="1">
      <c r="A774" s="2" t="inlineStr">
        <is>
          <t>E078</t>
        </is>
      </c>
      <c r="B774" s="2" t="inlineStr">
        <is>
          <t>E078.03</t>
        </is>
      </c>
      <c r="C774" s="2" t="inlineStr">
        <is>
          <t>Conferir quantidades, valores e dados de faturamento aprovados.</t>
        </is>
      </c>
      <c r="D774" s="2" t="inlineStr">
        <is>
          <t>Financeiro, Compras e Backend</t>
        </is>
      </c>
      <c r="E774" s="4" t="inlineStr">
        <is>
          <t>Pendente</t>
        </is>
      </c>
      <c r="F774" s="4" t="inlineStr"/>
      <c r="G774" s="2">
        <f>IF(AND(E774="Concluída",LEN(TRIM(F774))&gt;0),1,0)</f>
        <v/>
      </c>
      <c r="H774" s="4" t="inlineStr"/>
    </row>
    <row r="775" ht="54" customHeight="1">
      <c r="A775" s="2" t="inlineStr">
        <is>
          <t>E078</t>
        </is>
      </c>
      <c r="B775" s="2" t="inlineStr">
        <is>
          <t>E078.04</t>
        </is>
      </c>
      <c r="C775" s="2" t="inlineStr">
        <is>
          <t>Separar condição de pagamento de situação efetiva de liquidação.</t>
        </is>
      </c>
      <c r="D775" s="2" t="inlineStr">
        <is>
          <t>Financeiro, Compras e Backend</t>
        </is>
      </c>
      <c r="E775" s="4" t="inlineStr">
        <is>
          <t>Pendente</t>
        </is>
      </c>
      <c r="F775" s="4" t="inlineStr"/>
      <c r="G775" s="2">
        <f>IF(AND(E775="Concluída",LEN(TRIM(F775))&gt;0),1,0)</f>
        <v/>
      </c>
      <c r="H775" s="4" t="inlineStr"/>
    </row>
    <row r="776" ht="54" customHeight="1">
      <c r="A776" s="2" t="inlineStr">
        <is>
          <t>E078</t>
        </is>
      </c>
      <c r="B776" s="2" t="inlineStr">
        <is>
          <t>E078.05</t>
        </is>
      </c>
      <c r="C776" s="2" t="inlineStr">
        <is>
          <t>Registrar recebimento parcial sem pressupor quitação integral.</t>
        </is>
      </c>
      <c r="D776" s="2" t="inlineStr">
        <is>
          <t>Financeiro, Compras e Backend</t>
        </is>
      </c>
      <c r="E776" s="4" t="inlineStr">
        <is>
          <t>Pendente</t>
        </is>
      </c>
      <c r="F776" s="4" t="inlineStr"/>
      <c r="G776" s="2">
        <f>IF(AND(E776="Concluída",LEN(TRIM(F776))&gt;0),1,0)</f>
        <v/>
      </c>
      <c r="H776" s="4" t="inlineStr"/>
    </row>
    <row r="777" ht="54" customHeight="1">
      <c r="A777" s="2" t="inlineStr">
        <is>
          <t>E078</t>
        </is>
      </c>
      <c r="B777" s="2" t="inlineStr">
        <is>
          <t>E078.06</t>
        </is>
      </c>
      <c r="C777" s="2" t="inlineStr">
        <is>
          <t>Identificar divergências entre proposta, entrega e documento financeiro.</t>
        </is>
      </c>
      <c r="D777" s="2" t="inlineStr">
        <is>
          <t>Financeiro, Compras e Backend</t>
        </is>
      </c>
      <c r="E777" s="4" t="inlineStr">
        <is>
          <t>Pendente</t>
        </is>
      </c>
      <c r="F777" s="4" t="inlineStr"/>
      <c r="G777" s="2">
        <f>IF(AND(E777="Concluída",LEN(TRIM(F777))&gt;0),1,0)</f>
        <v/>
      </c>
      <c r="H777" s="4" t="inlineStr"/>
    </row>
    <row r="778" ht="54" customHeight="1">
      <c r="A778" s="2" t="inlineStr">
        <is>
          <t>E078</t>
        </is>
      </c>
      <c r="B778" s="2" t="inlineStr">
        <is>
          <t>E078.07</t>
        </is>
      </c>
      <c r="C778" s="2" t="inlineStr">
        <is>
          <t>Encaminhar correção ao responsável mantendo os documentos anteriores rastreáveis.</t>
        </is>
      </c>
      <c r="D778" s="2" t="inlineStr">
        <is>
          <t>Financeiro, Compras e Backend</t>
        </is>
      </c>
      <c r="E778" s="4" t="inlineStr">
        <is>
          <t>Pendente</t>
        </is>
      </c>
      <c r="F778" s="4" t="inlineStr"/>
      <c r="G778" s="2">
        <f>IF(AND(E778="Concluída",LEN(TRIM(F778))&gt;0),1,0)</f>
        <v/>
      </c>
      <c r="H778" s="4" t="inlineStr"/>
    </row>
    <row r="779" ht="54" customHeight="1">
      <c r="A779" s="2" t="inlineStr">
        <is>
          <t>E078</t>
        </is>
      </c>
      <c r="B779" s="2" t="inlineStr">
        <is>
          <t>E078.08</t>
        </is>
      </c>
      <c r="C779" s="2" t="inlineStr">
        <is>
          <t>Restringir acesso a anexos e informações financeiras por permissão.</t>
        </is>
      </c>
      <c r="D779" s="2" t="inlineStr">
        <is>
          <t>Financeiro, Compras e Backend</t>
        </is>
      </c>
      <c r="E779" s="4" t="inlineStr">
        <is>
          <t>Pendente</t>
        </is>
      </c>
      <c r="F779" s="4" t="inlineStr"/>
      <c r="G779" s="2">
        <f>IF(AND(E779="Concluída",LEN(TRIM(F779))&gt;0),1,0)</f>
        <v/>
      </c>
      <c r="H779" s="4" t="inlineStr"/>
    </row>
    <row r="780" ht="54" customHeight="1">
      <c r="A780" s="2" t="inlineStr">
        <is>
          <t>E078</t>
        </is>
      </c>
      <c r="B780" s="2" t="inlineStr">
        <is>
          <t>E078.09</t>
        </is>
      </c>
      <c r="C780" s="2" t="inlineStr">
        <is>
          <t>Definir exportação ou processo manual até haver integração homologada.</t>
        </is>
      </c>
      <c r="D780" s="2" t="inlineStr">
        <is>
          <t>Financeiro, Compras e Backend</t>
        </is>
      </c>
      <c r="E780" s="4" t="inlineStr">
        <is>
          <t>Pendente</t>
        </is>
      </c>
      <c r="F780" s="4" t="inlineStr"/>
      <c r="G780" s="2">
        <f>IF(AND(E780="Concluída",LEN(TRIM(F780))&gt;0),1,0)</f>
        <v/>
      </c>
      <c r="H780" s="4" t="inlineStr"/>
    </row>
    <row r="781" ht="54" customHeight="1">
      <c r="A781" s="2" t="inlineStr">
        <is>
          <t>E078</t>
        </is>
      </c>
      <c r="B781" s="2" t="inlineStr">
        <is>
          <t>E078.10</t>
        </is>
      </c>
      <c r="C781" s="2" t="inlineStr">
        <is>
          <t>Conciliar um pedido completo e um pedido com ajuste documentado.</t>
        </is>
      </c>
      <c r="D781" s="2" t="inlineStr">
        <is>
          <t>Financeiro, Compras e Backend</t>
        </is>
      </c>
      <c r="E781" s="4" t="inlineStr">
        <is>
          <t>Pendente</t>
        </is>
      </c>
      <c r="F781" s="4" t="inlineStr"/>
      <c r="G781" s="2">
        <f>IF(AND(E781="Concluída",LEN(TRIM(F781))&gt;0),1,0)</f>
        <v/>
      </c>
      <c r="H781" s="4" t="inlineStr"/>
    </row>
    <row r="782" ht="54" customHeight="1">
      <c r="A782" s="2" t="inlineStr">
        <is>
          <t>E079</t>
        </is>
      </c>
      <c r="B782" s="2" t="inlineStr">
        <is>
          <t>E079.01</t>
        </is>
      </c>
      <c r="C782" s="2" t="inlineStr">
        <is>
          <t>Permitir iniciar nova solicitação a partir de pedido anterior autorizado.</t>
        </is>
      </c>
      <c r="D782" s="2" t="inlineStr">
        <is>
          <t>UX, Comercial e Frontend</t>
        </is>
      </c>
      <c r="E782" s="4" t="inlineStr">
        <is>
          <t>Pendente</t>
        </is>
      </c>
      <c r="F782" s="4" t="inlineStr"/>
      <c r="G782" s="2">
        <f>IF(AND(E782="Concluída",LEN(TRIM(F782))&gt;0),1,0)</f>
        <v/>
      </c>
      <c r="H782" s="4" t="inlineStr"/>
    </row>
    <row r="783" ht="54" customHeight="1">
      <c r="A783" s="2" t="inlineStr">
        <is>
          <t>E079</t>
        </is>
      </c>
      <c r="B783" s="2" t="inlineStr">
        <is>
          <t>E079.02</t>
        </is>
      </c>
      <c r="C783" s="2" t="inlineStr">
        <is>
          <t>Copiar configuração e referências sem alterar o registro histórico.</t>
        </is>
      </c>
      <c r="D783" s="2" t="inlineStr">
        <is>
          <t>UX, Comercial e Frontend</t>
        </is>
      </c>
      <c r="E783" s="4" t="inlineStr">
        <is>
          <t>Pendente</t>
        </is>
      </c>
      <c r="F783" s="4" t="inlineStr"/>
      <c r="G783" s="2">
        <f>IF(AND(E783="Concluída",LEN(TRIM(F783))&gt;0),1,0)</f>
        <v/>
      </c>
      <c r="H783" s="4" t="inlineStr"/>
    </row>
    <row r="784" ht="54" customHeight="1">
      <c r="A784" s="2" t="inlineStr">
        <is>
          <t>E079</t>
        </is>
      </c>
      <c r="B784" s="2" t="inlineStr">
        <is>
          <t>E079.03</t>
        </is>
      </c>
      <c r="C784" s="2" t="inlineStr">
        <is>
          <t>Verificar existência e situação atual de produtos e variantes.</t>
        </is>
      </c>
      <c r="D784" s="2" t="inlineStr">
        <is>
          <t>UX, Comercial e Frontend</t>
        </is>
      </c>
      <c r="E784" s="4" t="inlineStr">
        <is>
          <t>Pendente</t>
        </is>
      </c>
      <c r="F784" s="4" t="inlineStr"/>
      <c r="G784" s="2">
        <f>IF(AND(E784="Concluída",LEN(TRIM(F784))&gt;0),1,0)</f>
        <v/>
      </c>
      <c r="H784" s="4" t="inlineStr"/>
    </row>
    <row r="785" ht="54" customHeight="1">
      <c r="A785" s="2" t="inlineStr">
        <is>
          <t>E079</t>
        </is>
      </c>
      <c r="B785" s="2" t="inlineStr">
        <is>
          <t>E079.04</t>
        </is>
      </c>
      <c r="C785" s="2" t="inlineStr">
        <is>
          <t>Reconsultar preço de origem e condições comerciais vigentes.</t>
        </is>
      </c>
      <c r="D785" s="2" t="inlineStr">
        <is>
          <t>UX, Comercial e Frontend</t>
        </is>
      </c>
      <c r="E785" s="4" t="inlineStr">
        <is>
          <t>Pendente</t>
        </is>
      </c>
      <c r="F785" s="4" t="inlineStr"/>
      <c r="G785" s="2">
        <f>IF(AND(E785="Concluída",LEN(TRIM(F785))&gt;0),1,0)</f>
        <v/>
      </c>
      <c r="H785" s="4" t="inlineStr"/>
    </row>
    <row r="786" ht="54" customHeight="1">
      <c r="A786" s="2" t="inlineStr">
        <is>
          <t>E079</t>
        </is>
      </c>
      <c r="B786" s="2" t="inlineStr">
        <is>
          <t>E079.05</t>
        </is>
      </c>
      <c r="C786" s="2" t="inlineStr">
        <is>
          <t>Reconfirmar mínimo, múltiplo e disponibilidade da quantidade pretendida.</t>
        </is>
      </c>
      <c r="D786" s="2" t="inlineStr">
        <is>
          <t>UX, Comercial e Frontend</t>
        </is>
      </c>
      <c r="E786" s="4" t="inlineStr">
        <is>
          <t>Pendente</t>
        </is>
      </c>
      <c r="F786" s="4" t="inlineStr"/>
      <c r="G786" s="2">
        <f>IF(AND(E786="Concluída",LEN(TRIM(F786))&gt;0),1,0)</f>
        <v/>
      </c>
      <c r="H786" s="4" t="inlineStr"/>
    </row>
    <row r="787" ht="54" customHeight="1">
      <c r="A787" s="2" t="inlineStr">
        <is>
          <t>E079</t>
        </is>
      </c>
      <c r="B787" s="2" t="inlineStr">
        <is>
          <t>E079.06</t>
        </is>
      </c>
      <c r="C787" s="2" t="inlineStr">
        <is>
          <t>Indicar arte antiga que depende de nova validação de marca.</t>
        </is>
      </c>
      <c r="D787" s="2" t="inlineStr">
        <is>
          <t>UX, Comercial e Frontend</t>
        </is>
      </c>
      <c r="E787" s="4" t="inlineStr">
        <is>
          <t>Pendente</t>
        </is>
      </c>
      <c r="F787" s="4" t="inlineStr"/>
      <c r="G787" s="2">
        <f>IF(AND(E787="Concluída",LEN(TRIM(F787))&gt;0),1,0)</f>
        <v/>
      </c>
      <c r="H787" s="4" t="inlineStr"/>
    </row>
    <row r="788" ht="54" customHeight="1">
      <c r="A788" s="2" t="inlineStr">
        <is>
          <t>E079</t>
        </is>
      </c>
      <c r="B788" s="2" t="inlineStr">
        <is>
          <t>E079.07</t>
        </is>
      </c>
      <c r="C788" s="2" t="inlineStr">
        <is>
          <t>Solicitar confirmação de destinos, campanha e período de verba.</t>
        </is>
      </c>
      <c r="D788" s="2" t="inlineStr">
        <is>
          <t>UX, Comercial e Frontend</t>
        </is>
      </c>
      <c r="E788" s="4" t="inlineStr">
        <is>
          <t>Pendente</t>
        </is>
      </c>
      <c r="F788" s="4" t="inlineStr"/>
      <c r="G788" s="2">
        <f>IF(AND(E788="Concluída",LEN(TRIM(F788))&gt;0),1,0)</f>
        <v/>
      </c>
      <c r="H788" s="4" t="inlineStr"/>
    </row>
    <row r="789" ht="54" customHeight="1">
      <c r="A789" s="2" t="inlineStr">
        <is>
          <t>E079</t>
        </is>
      </c>
      <c r="B789" s="2" t="inlineStr">
        <is>
          <t>E079.08</t>
        </is>
      </c>
      <c r="C789" s="2" t="inlineStr">
        <is>
          <t>Destacar diferenças em relação à compra anterior.</t>
        </is>
      </c>
      <c r="D789" s="2" t="inlineStr">
        <is>
          <t>UX, Comercial e Frontend</t>
        </is>
      </c>
      <c r="E789" s="4" t="inlineStr">
        <is>
          <t>Pendente</t>
        </is>
      </c>
      <c r="F789" s="4" t="inlineStr"/>
      <c r="G789" s="2">
        <f>IF(AND(E789="Concluída",LEN(TRIM(F789))&gt;0),1,0)</f>
        <v/>
      </c>
      <c r="H789" s="4" t="inlineStr"/>
    </row>
    <row r="790" ht="54" customHeight="1">
      <c r="A790" s="2" t="inlineStr">
        <is>
          <t>E079</t>
        </is>
      </c>
      <c r="B790" s="2" t="inlineStr">
        <is>
          <t>E079.09</t>
        </is>
      </c>
      <c r="C790" s="2" t="inlineStr">
        <is>
          <t>Encaminhar a nova versão ao fluxo normal de aprovação.</t>
        </is>
      </c>
      <c r="D790" s="2" t="inlineStr">
        <is>
          <t>UX, Comercial e Frontend</t>
        </is>
      </c>
      <c r="E790" s="4" t="inlineStr">
        <is>
          <t>Pendente</t>
        </is>
      </c>
      <c r="F790" s="4" t="inlineStr"/>
      <c r="G790" s="2">
        <f>IF(AND(E790="Concluída",LEN(TRIM(F790))&gt;0),1,0)</f>
        <v/>
      </c>
      <c r="H790" s="4" t="inlineStr"/>
    </row>
    <row r="791" ht="54" customHeight="1">
      <c r="A791" s="2" t="inlineStr">
        <is>
          <t>E079</t>
        </is>
      </c>
      <c r="B791" s="2" t="inlineStr">
        <is>
          <t>E079.10</t>
        </is>
      </c>
      <c r="C791" s="2" t="inlineStr">
        <is>
          <t>Validar recompra com produto inativo, preço alterado e endereço diferente.</t>
        </is>
      </c>
      <c r="D791" s="2" t="inlineStr">
        <is>
          <t>UX, Comercial e Frontend</t>
        </is>
      </c>
      <c r="E791" s="4" t="inlineStr">
        <is>
          <t>Pendente</t>
        </is>
      </c>
      <c r="F791" s="4" t="inlineStr"/>
      <c r="G791" s="2">
        <f>IF(AND(E791="Concluída",LEN(TRIM(F791))&gt;0),1,0)</f>
        <v/>
      </c>
      <c r="H791" s="4" t="inlineStr"/>
    </row>
    <row r="792" ht="54" customHeight="1">
      <c r="A792" s="2" t="inlineStr">
        <is>
          <t>E080</t>
        </is>
      </c>
      <c r="B792" s="2" t="inlineStr">
        <is>
          <t>E080.01</t>
        </is>
      </c>
      <c r="C792" s="2" t="inlineStr">
        <is>
          <t>Mapear dúvidas recorrentes observadas na pesquisa e no teste das jornadas.</t>
        </is>
      </c>
      <c r="D792" s="2" t="inlineStr">
        <is>
          <t>Conteúdo UX, Atendimento e Frontend</t>
        </is>
      </c>
      <c r="E792" s="4" t="inlineStr">
        <is>
          <t>Pendente</t>
        </is>
      </c>
      <c r="F792" s="4" t="inlineStr"/>
      <c r="G792" s="2">
        <f>IF(AND(E792="Concluída",LEN(TRIM(F792))&gt;0),1,0)</f>
        <v/>
      </c>
      <c r="H792" s="4" t="inlineStr"/>
    </row>
    <row r="793" ht="54" customHeight="1">
      <c r="A793" s="2" t="inlineStr">
        <is>
          <t>E080</t>
        </is>
      </c>
      <c r="B793" s="2" t="inlineStr">
        <is>
          <t>E080.02</t>
        </is>
      </c>
      <c r="C793" s="2" t="inlineStr">
        <is>
          <t>Escrever respostas curtas sobre quantidade, arte, verba e entrega.</t>
        </is>
      </c>
      <c r="D793" s="2" t="inlineStr">
        <is>
          <t>Conteúdo UX, Atendimento e Frontend</t>
        </is>
      </c>
      <c r="E793" s="4" t="inlineStr">
        <is>
          <t>Pendente</t>
        </is>
      </c>
      <c r="F793" s="4" t="inlineStr"/>
      <c r="G793" s="2">
        <f>IF(AND(E793="Concluída",LEN(TRIM(F793))&gt;0),1,0)</f>
        <v/>
      </c>
      <c r="H793" s="4" t="inlineStr"/>
    </row>
    <row r="794" ht="54" customHeight="1">
      <c r="A794" s="2" t="inlineStr">
        <is>
          <t>E080</t>
        </is>
      </c>
      <c r="B794" s="2" t="inlineStr">
        <is>
          <t>E080.03</t>
        </is>
      </c>
      <c r="C794" s="2" t="inlineStr">
        <is>
          <t>Disponibilizar ajuda junto ao campo ou decisão que gera a dúvida.</t>
        </is>
      </c>
      <c r="D794" s="2" t="inlineStr">
        <is>
          <t>Conteúdo UX, Atendimento e Frontend</t>
        </is>
      </c>
      <c r="E794" s="4" t="inlineStr">
        <is>
          <t>Pendente</t>
        </is>
      </c>
      <c r="F794" s="4" t="inlineStr"/>
      <c r="G794" s="2">
        <f>IF(AND(E794="Concluída",LEN(TRIM(F794))&gt;0),1,0)</f>
        <v/>
      </c>
      <c r="H794" s="4" t="inlineStr"/>
    </row>
    <row r="795" ht="54" customHeight="1">
      <c r="A795" s="2" t="inlineStr">
        <is>
          <t>E080</t>
        </is>
      </c>
      <c r="B795" s="2" t="inlineStr">
        <is>
          <t>E080.04</t>
        </is>
      </c>
      <c r="C795" s="2" t="inlineStr">
        <is>
          <t>Criar páginas de apoio acessíveis e pesquisáveis.</t>
        </is>
      </c>
      <c r="D795" s="2" t="inlineStr">
        <is>
          <t>Conteúdo UX, Atendimento e Frontend</t>
        </is>
      </c>
      <c r="E795" s="4" t="inlineStr">
        <is>
          <t>Pendente</t>
        </is>
      </c>
      <c r="F795" s="4" t="inlineStr"/>
      <c r="G795" s="2">
        <f>IF(AND(E795="Concluída",LEN(TRIM(F795))&gt;0),1,0)</f>
        <v/>
      </c>
      <c r="H795" s="4" t="inlineStr"/>
    </row>
    <row r="796" ht="54" customHeight="1">
      <c r="A796" s="2" t="inlineStr">
        <is>
          <t>E080</t>
        </is>
      </c>
      <c r="B796" s="2" t="inlineStr">
        <is>
          <t>E080.05</t>
        </is>
      </c>
      <c r="C796" s="2" t="inlineStr">
        <is>
          <t>Oferecer atendimento humano com horário e expectativa de retorno reais.</t>
        </is>
      </c>
      <c r="D796" s="2" t="inlineStr">
        <is>
          <t>Conteúdo UX, Atendimento e Frontend</t>
        </is>
      </c>
      <c r="E796" s="4" t="inlineStr">
        <is>
          <t>Pendente</t>
        </is>
      </c>
      <c r="F796" s="4" t="inlineStr"/>
      <c r="G796" s="2">
        <f>IF(AND(E796="Concluída",LEN(TRIM(F796))&gt;0),1,0)</f>
        <v/>
      </c>
      <c r="H796" s="4" t="inlineStr"/>
    </row>
    <row r="797" ht="54" customHeight="1">
      <c r="A797" s="2" t="inlineStr">
        <is>
          <t>E080</t>
        </is>
      </c>
      <c r="B797" s="2" t="inlineStr">
        <is>
          <t>E080.06</t>
        </is>
      </c>
      <c r="C797" s="2" t="inlineStr">
        <is>
          <t>Transmitir contexto permitido do pedido sem incluir segredos ou excesso de dados.</t>
        </is>
      </c>
      <c r="D797" s="2" t="inlineStr">
        <is>
          <t>Conteúdo UX, Atendimento e Frontend</t>
        </is>
      </c>
      <c r="E797" s="4" t="inlineStr">
        <is>
          <t>Pendente</t>
        </is>
      </c>
      <c r="F797" s="4" t="inlineStr"/>
      <c r="G797" s="2">
        <f>IF(AND(E797="Concluída",LEN(TRIM(F797))&gt;0),1,0)</f>
        <v/>
      </c>
      <c r="H797" s="4" t="inlineStr"/>
    </row>
    <row r="798" ht="54" customHeight="1">
      <c r="A798" s="2" t="inlineStr">
        <is>
          <t>E080</t>
        </is>
      </c>
      <c r="B798" s="2" t="inlineStr">
        <is>
          <t>E080.07</t>
        </is>
      </c>
      <c r="C798" s="2" t="inlineStr">
        <is>
          <t>Permitir acompanhar solicitações de suporte pelo protocolo.</t>
        </is>
      </c>
      <c r="D798" s="2" t="inlineStr">
        <is>
          <t>Conteúdo UX, Atendimento e Frontend</t>
        </is>
      </c>
      <c r="E798" s="4" t="inlineStr">
        <is>
          <t>Pendente</t>
        </is>
      </c>
      <c r="F798" s="4" t="inlineStr"/>
      <c r="G798" s="2">
        <f>IF(AND(E798="Concluída",LEN(TRIM(F798))&gt;0),1,0)</f>
        <v/>
      </c>
      <c r="H798" s="4" t="inlineStr"/>
    </row>
    <row r="799" ht="54" customHeight="1">
      <c r="A799" s="2" t="inlineStr">
        <is>
          <t>E080</t>
        </is>
      </c>
      <c r="B799" s="2" t="inlineStr">
        <is>
          <t>E080.08</t>
        </is>
      </c>
      <c r="C799" s="2" t="inlineStr">
        <is>
          <t>Separar recomendação automática de informação confirmada pela operação.</t>
        </is>
      </c>
      <c r="D799" s="2" t="inlineStr">
        <is>
          <t>Conteúdo UX, Atendimento e Frontend</t>
        </is>
      </c>
      <c r="E799" s="4" t="inlineStr">
        <is>
          <t>Pendente</t>
        </is>
      </c>
      <c r="F799" s="4" t="inlineStr"/>
      <c r="G799" s="2">
        <f>IF(AND(E799="Concluída",LEN(TRIM(F799))&gt;0),1,0)</f>
        <v/>
      </c>
      <c r="H799" s="4" t="inlineStr"/>
    </row>
    <row r="800" ht="54" customHeight="1">
      <c r="A800" s="2" t="inlineStr">
        <is>
          <t>E080</t>
        </is>
      </c>
      <c r="B800" s="2" t="inlineStr">
        <is>
          <t>E080.09</t>
        </is>
      </c>
      <c r="C800" s="2" t="inlineStr">
        <is>
          <t>Revisar conteúdo quando políticas ou condições de fornecimento mudarem.</t>
        </is>
      </c>
      <c r="D800" s="2" t="inlineStr">
        <is>
          <t>Conteúdo UX, Atendimento e Frontend</t>
        </is>
      </c>
      <c r="E800" s="4" t="inlineStr">
        <is>
          <t>Pendente</t>
        </is>
      </c>
      <c r="F800" s="4" t="inlineStr"/>
      <c r="G800" s="2">
        <f>IF(AND(E800="Concluída",LEN(TRIM(F800))&gt;0),1,0)</f>
        <v/>
      </c>
      <c r="H800" s="4" t="inlineStr"/>
    </row>
    <row r="801" ht="54" customHeight="1">
      <c r="A801" s="2" t="inlineStr">
        <is>
          <t>E080</t>
        </is>
      </c>
      <c r="B801" s="2" t="inlineStr">
        <is>
          <t>E080.10</t>
        </is>
      </c>
      <c r="C801" s="2" t="inlineStr">
        <is>
          <t>Testar obtenção de ajuda e continuidade da compra após uma dúvida resolvida.</t>
        </is>
      </c>
      <c r="D801" s="2" t="inlineStr">
        <is>
          <t>Conteúdo UX, Atendimento e Frontend</t>
        </is>
      </c>
      <c r="E801" s="4" t="inlineStr">
        <is>
          <t>Pendente</t>
        </is>
      </c>
      <c r="F801" s="4" t="inlineStr"/>
      <c r="G801" s="2">
        <f>IF(AND(E801="Concluída",LEN(TRIM(F801))&gt;0),1,0)</f>
        <v/>
      </c>
      <c r="H801" s="4" t="inlineStr"/>
    </row>
    <row r="802" ht="54" customHeight="1">
      <c r="A802" s="2" t="inlineStr">
        <is>
          <t>E081</t>
        </is>
      </c>
      <c r="B802" s="2" t="inlineStr">
        <is>
          <t>E081.01</t>
        </is>
      </c>
      <c r="C802" s="2" t="inlineStr">
        <is>
          <t>Definir escopo de páginas, componentes e critérios WCAG aplicáveis.</t>
        </is>
      </c>
      <c r="D802" s="2" t="inlineStr">
        <is>
          <t>Especialista em acessibilidade e QA</t>
        </is>
      </c>
      <c r="E802" s="4" t="inlineStr">
        <is>
          <t>Pendente</t>
        </is>
      </c>
      <c r="F802" s="4" t="inlineStr"/>
      <c r="G802" s="2">
        <f>IF(AND(E802="Concluída",LEN(TRIM(F802))&gt;0),1,0)</f>
        <v/>
      </c>
      <c r="H802" s="4" t="inlineStr"/>
    </row>
    <row r="803" ht="54" customHeight="1">
      <c r="A803" s="2" t="inlineStr">
        <is>
          <t>E081</t>
        </is>
      </c>
      <c r="B803" s="2" t="inlineStr">
        <is>
          <t>E081.02</t>
        </is>
      </c>
      <c r="C803" s="2" t="inlineStr">
        <is>
          <t>Verificar estrutura semântica, títulos, regiões e nomes acessíveis.</t>
        </is>
      </c>
      <c r="D803" s="2" t="inlineStr">
        <is>
          <t>Especialista em acessibilidade e QA</t>
        </is>
      </c>
      <c r="E803" s="4" t="inlineStr">
        <is>
          <t>Pendente</t>
        </is>
      </c>
      <c r="F803" s="4" t="inlineStr"/>
      <c r="G803" s="2">
        <f>IF(AND(E803="Concluída",LEN(TRIM(F803))&gt;0),1,0)</f>
        <v/>
      </c>
      <c r="H803" s="4" t="inlineStr"/>
    </row>
    <row r="804" ht="54" customHeight="1">
      <c r="A804" s="2" t="inlineStr">
        <is>
          <t>E081</t>
        </is>
      </c>
      <c r="B804" s="2" t="inlineStr">
        <is>
          <t>E081.03</t>
        </is>
      </c>
      <c r="C804" s="2" t="inlineStr">
        <is>
          <t>Percorrer compra, aprovação e recebimento inteiramente por teclado.</t>
        </is>
      </c>
      <c r="D804" s="2" t="inlineStr">
        <is>
          <t>Especialista em acessibilidade e QA</t>
        </is>
      </c>
      <c r="E804" s="4" t="inlineStr">
        <is>
          <t>Pendente</t>
        </is>
      </c>
      <c r="F804" s="4" t="inlineStr"/>
      <c r="G804" s="2">
        <f>IF(AND(E804="Concluída",LEN(TRIM(F804))&gt;0),1,0)</f>
        <v/>
      </c>
      <c r="H804" s="4" t="inlineStr"/>
    </row>
    <row r="805" ht="54" customHeight="1">
      <c r="A805" s="2" t="inlineStr">
        <is>
          <t>E081</t>
        </is>
      </c>
      <c r="B805" s="2" t="inlineStr">
        <is>
          <t>E081.04</t>
        </is>
      </c>
      <c r="C805" s="2" t="inlineStr">
        <is>
          <t>Conferir foco visível e ausência de encobrimento por elementos fixos.</t>
        </is>
      </c>
      <c r="D805" s="2" t="inlineStr">
        <is>
          <t>Especialista em acessibilidade e QA</t>
        </is>
      </c>
      <c r="E805" s="4" t="inlineStr">
        <is>
          <t>Pendente</t>
        </is>
      </c>
      <c r="F805" s="4" t="inlineStr"/>
      <c r="G805" s="2">
        <f>IF(AND(E805="Concluída",LEN(TRIM(F805))&gt;0),1,0)</f>
        <v/>
      </c>
      <c r="H805" s="4" t="inlineStr"/>
    </row>
    <row r="806" ht="54" customHeight="1">
      <c r="A806" s="2" t="inlineStr">
        <is>
          <t>E081</t>
        </is>
      </c>
      <c r="B806" s="2" t="inlineStr">
        <is>
          <t>E081.05</t>
        </is>
      </c>
      <c r="C806" s="2" t="inlineStr">
        <is>
          <t>Validar contraste de texto, estados e informação essencial dos controles.</t>
        </is>
      </c>
      <c r="D806" s="2" t="inlineStr">
        <is>
          <t>Especialista em acessibilidade e QA</t>
        </is>
      </c>
      <c r="E806" s="4" t="inlineStr">
        <is>
          <t>Pendente</t>
        </is>
      </c>
      <c r="F806" s="4" t="inlineStr"/>
      <c r="G806" s="2">
        <f>IF(AND(E806="Concluída",LEN(TRIM(F806))&gt;0),1,0)</f>
        <v/>
      </c>
      <c r="H806" s="4" t="inlineStr"/>
    </row>
    <row r="807" ht="54" customHeight="1">
      <c r="A807" s="2" t="inlineStr">
        <is>
          <t>E081</t>
        </is>
      </c>
      <c r="B807" s="2" t="inlineStr">
        <is>
          <t>E081.06</t>
        </is>
      </c>
      <c r="C807" s="2" t="inlineStr">
        <is>
          <t>Testar rótulos, instruções, erros e mensagens dinâmicas com leitor de tela.</t>
        </is>
      </c>
      <c r="D807" s="2" t="inlineStr">
        <is>
          <t>Especialista em acessibilidade e QA</t>
        </is>
      </c>
      <c r="E807" s="4" t="inlineStr">
        <is>
          <t>Pendente</t>
        </is>
      </c>
      <c r="F807" s="4" t="inlineStr"/>
      <c r="G807" s="2">
        <f>IF(AND(E807="Concluída",LEN(TRIM(F807))&gt;0),1,0)</f>
        <v/>
      </c>
      <c r="H807" s="4" t="inlineStr"/>
    </row>
    <row r="808" ht="54" customHeight="1">
      <c r="A808" s="2" t="inlineStr">
        <is>
          <t>E081</t>
        </is>
      </c>
      <c r="B808" s="2" t="inlineStr">
        <is>
          <t>E081.07</t>
        </is>
      </c>
      <c r="C808" s="2" t="inlineStr">
        <is>
          <t>Verificar alvos de interação e alternativas a arrastar elementos.</t>
        </is>
      </c>
      <c r="D808" s="2" t="inlineStr">
        <is>
          <t>Especialista em acessibilidade e QA</t>
        </is>
      </c>
      <c r="E808" s="4" t="inlineStr">
        <is>
          <t>Pendente</t>
        </is>
      </c>
      <c r="F808" s="4" t="inlineStr"/>
      <c r="G808" s="2">
        <f>IF(AND(E808="Concluída",LEN(TRIM(F808))&gt;0),1,0)</f>
        <v/>
      </c>
      <c r="H808" s="4" t="inlineStr"/>
    </row>
    <row r="809" ht="54" customHeight="1">
      <c r="A809" s="2" t="inlineStr">
        <is>
          <t>E081</t>
        </is>
      </c>
      <c r="B809" s="2" t="inlineStr">
        <is>
          <t>E081.08</t>
        </is>
      </c>
      <c r="C809" s="2" t="inlineStr">
        <is>
          <t>Testar ampliação, espaçamento de texto e redistribuição do conteúdo.</t>
        </is>
      </c>
      <c r="D809" s="2" t="inlineStr">
        <is>
          <t>Especialista em acessibilidade e QA</t>
        </is>
      </c>
      <c r="E809" s="4" t="inlineStr">
        <is>
          <t>Pendente</t>
        </is>
      </c>
      <c r="F809" s="4" t="inlineStr"/>
      <c r="G809" s="2">
        <f>IF(AND(E809="Concluída",LEN(TRIM(F809))&gt;0),1,0)</f>
        <v/>
      </c>
      <c r="H809" s="4" t="inlineStr"/>
    </row>
    <row r="810" ht="54" customHeight="1">
      <c r="A810" s="2" t="inlineStr">
        <is>
          <t>E081</t>
        </is>
      </c>
      <c r="B810" s="2" t="inlineStr">
        <is>
          <t>E081.09</t>
        </is>
      </c>
      <c r="C810" s="2" t="inlineStr">
        <is>
          <t>Corrigir achados e repetir os cenários que apresentaram falha.</t>
        </is>
      </c>
      <c r="D810" s="2" t="inlineStr">
        <is>
          <t>Especialista em acessibilidade e QA</t>
        </is>
      </c>
      <c r="E810" s="4" t="inlineStr">
        <is>
          <t>Pendente</t>
        </is>
      </c>
      <c r="F810" s="4" t="inlineStr"/>
      <c r="G810" s="2">
        <f>IF(AND(E810="Concluída",LEN(TRIM(F810))&gt;0),1,0)</f>
        <v/>
      </c>
      <c r="H810" s="4" t="inlineStr"/>
    </row>
    <row r="811" ht="54" customHeight="1">
      <c r="A811" s="2" t="inlineStr">
        <is>
          <t>E081</t>
        </is>
      </c>
      <c r="B811" s="2" t="inlineStr">
        <is>
          <t>E081.10</t>
        </is>
      </c>
      <c r="C811" s="2" t="inlineStr">
        <is>
          <t>Publicar matriz de critérios, ambientes testados e limitações remanescentes.</t>
        </is>
      </c>
      <c r="D811" s="2" t="inlineStr">
        <is>
          <t>Especialista em acessibilidade e QA</t>
        </is>
      </c>
      <c r="E811" s="4" t="inlineStr">
        <is>
          <t>Pendente</t>
        </is>
      </c>
      <c r="F811" s="4" t="inlineStr"/>
      <c r="G811" s="2">
        <f>IF(AND(E811="Concluída",LEN(TRIM(F811))&gt;0),1,0)</f>
        <v/>
      </c>
      <c r="H811" s="4" t="inlineStr"/>
    </row>
    <row r="812" ht="54" customHeight="1">
      <c r="A812" s="2" t="inlineStr">
        <is>
          <t>E082</t>
        </is>
      </c>
      <c r="B812" s="2" t="inlineStr">
        <is>
          <t>E082.01</t>
        </is>
      </c>
      <c r="C812" s="2" t="inlineStr">
        <is>
          <t>Selecionar aparelhos e navegadores usados pelos participantes do piloto.</t>
        </is>
      </c>
      <c r="D812" s="2" t="inlineStr">
        <is>
          <t>Pesquisa UX, Frontend e QA</t>
        </is>
      </c>
      <c r="E812" s="4" t="inlineStr">
        <is>
          <t>Pendente</t>
        </is>
      </c>
      <c r="F812" s="4" t="inlineStr"/>
      <c r="G812" s="2">
        <f>IF(AND(E812="Concluída",LEN(TRIM(F812))&gt;0),1,0)</f>
        <v/>
      </c>
      <c r="H812" s="4" t="inlineStr"/>
    </row>
    <row r="813" ht="54" customHeight="1">
      <c r="A813" s="2" t="inlineStr">
        <is>
          <t>E082</t>
        </is>
      </c>
      <c r="B813" s="2" t="inlineStr">
        <is>
          <t>E082.02</t>
        </is>
      </c>
      <c r="C813" s="2" t="inlineStr">
        <is>
          <t>Testar entrada, busca e seleção com teclado virtual aberto.</t>
        </is>
      </c>
      <c r="D813" s="2" t="inlineStr">
        <is>
          <t>Pesquisa UX, Frontend e QA</t>
        </is>
      </c>
      <c r="E813" s="4" t="inlineStr">
        <is>
          <t>Pendente</t>
        </is>
      </c>
      <c r="F813" s="4" t="inlineStr"/>
      <c r="G813" s="2">
        <f>IF(AND(E813="Concluída",LEN(TRIM(F813))&gt;0),1,0)</f>
        <v/>
      </c>
      <c r="H813" s="4" t="inlineStr"/>
    </row>
    <row r="814" ht="54" customHeight="1">
      <c r="A814" s="2" t="inlineStr">
        <is>
          <t>E082</t>
        </is>
      </c>
      <c r="B814" s="2" t="inlineStr">
        <is>
          <t>E082.03</t>
        </is>
      </c>
      <c r="C814" s="2" t="inlineStr">
        <is>
          <t>Verificar campos numéricos, datas e endereços no dispositivo móvel.</t>
        </is>
      </c>
      <c r="D814" s="2" t="inlineStr">
        <is>
          <t>Pesquisa UX, Frontend e QA</t>
        </is>
      </c>
      <c r="E814" s="4" t="inlineStr">
        <is>
          <t>Pendente</t>
        </is>
      </c>
      <c r="F814" s="4" t="inlineStr"/>
      <c r="G814" s="2">
        <f>IF(AND(E814="Concluída",LEN(TRIM(F814))&gt;0),1,0)</f>
        <v/>
      </c>
      <c r="H814" s="4" t="inlineStr"/>
    </row>
    <row r="815" ht="54" customHeight="1">
      <c r="A815" s="2" t="inlineStr">
        <is>
          <t>E082</t>
        </is>
      </c>
      <c r="B815" s="2" t="inlineStr">
        <is>
          <t>E082.04</t>
        </is>
      </c>
      <c r="C815" s="2" t="inlineStr">
        <is>
          <t>Conferir área de toque e separação entre ações adjacentes.</t>
        </is>
      </c>
      <c r="D815" s="2" t="inlineStr">
        <is>
          <t>Pesquisa UX, Frontend e QA</t>
        </is>
      </c>
      <c r="E815" s="4" t="inlineStr">
        <is>
          <t>Pendente</t>
        </is>
      </c>
      <c r="F815" s="4" t="inlineStr"/>
      <c r="G815" s="2">
        <f>IF(AND(E815="Concluída",LEN(TRIM(F815))&gt;0),1,0)</f>
        <v/>
      </c>
      <c r="H815" s="4" t="inlineStr"/>
    </row>
    <row r="816" ht="54" customHeight="1">
      <c r="A816" s="2" t="inlineStr">
        <is>
          <t>E082</t>
        </is>
      </c>
      <c r="B816" s="2" t="inlineStr">
        <is>
          <t>E082.05</t>
        </is>
      </c>
      <c r="C816" s="2" t="inlineStr">
        <is>
          <t>Testar leitura de proposta e arte sem perder acesso aos comandos.</t>
        </is>
      </c>
      <c r="D816" s="2" t="inlineStr">
        <is>
          <t>Pesquisa UX, Frontend e QA</t>
        </is>
      </c>
      <c r="E816" s="4" t="inlineStr">
        <is>
          <t>Pendente</t>
        </is>
      </c>
      <c r="F816" s="4" t="inlineStr"/>
      <c r="G816" s="2">
        <f>IF(AND(E816="Concluída",LEN(TRIM(F816))&gt;0),1,0)</f>
        <v/>
      </c>
      <c r="H816" s="4" t="inlineStr"/>
    </row>
    <row r="817" ht="54" customHeight="1">
      <c r="A817" s="2" t="inlineStr">
        <is>
          <t>E082</t>
        </is>
      </c>
      <c r="B817" s="2" t="inlineStr">
        <is>
          <t>E082.06</t>
        </is>
      </c>
      <c r="C817" s="2" t="inlineStr">
        <is>
          <t>Validar envio de foto de ocorrência com tamanho e orientação variados.</t>
        </is>
      </c>
      <c r="D817" s="2" t="inlineStr">
        <is>
          <t>Pesquisa UX, Frontend e QA</t>
        </is>
      </c>
      <c r="E817" s="4" t="inlineStr">
        <is>
          <t>Pendente</t>
        </is>
      </c>
      <c r="F817" s="4" t="inlineStr"/>
      <c r="G817" s="2">
        <f>IF(AND(E817="Concluída",LEN(TRIM(F817))&gt;0),1,0)</f>
        <v/>
      </c>
      <c r="H817" s="4" t="inlineStr"/>
    </row>
    <row r="818" ht="54" customHeight="1">
      <c r="A818" s="2" t="inlineStr">
        <is>
          <t>E082</t>
        </is>
      </c>
      <c r="B818" s="2" t="inlineStr">
        <is>
          <t>E082.07</t>
        </is>
      </c>
      <c r="C818" s="2" t="inlineStr">
        <is>
          <t>Simular interrupção por ligação, bloqueio de tela e retorno ao navegador.</t>
        </is>
      </c>
      <c r="D818" s="2" t="inlineStr">
        <is>
          <t>Pesquisa UX, Frontend e QA</t>
        </is>
      </c>
      <c r="E818" s="4" t="inlineStr">
        <is>
          <t>Pendente</t>
        </is>
      </c>
      <c r="F818" s="4" t="inlineStr"/>
      <c r="G818" s="2">
        <f>IF(AND(E818="Concluída",LEN(TRIM(F818))&gt;0),1,0)</f>
        <v/>
      </c>
      <c r="H818" s="4" t="inlineStr"/>
    </row>
    <row r="819" ht="54" customHeight="1">
      <c r="A819" s="2" t="inlineStr">
        <is>
          <t>E082</t>
        </is>
      </c>
      <c r="B819" s="2" t="inlineStr">
        <is>
          <t>E082.08</t>
        </is>
      </c>
      <c r="C819" s="2" t="inlineStr">
        <is>
          <t>Verificar conexões lentas e retomada de tarefas interrompidas.</t>
        </is>
      </c>
      <c r="D819" s="2" t="inlineStr">
        <is>
          <t>Pesquisa UX, Frontend e QA</t>
        </is>
      </c>
      <c r="E819" s="4" t="inlineStr">
        <is>
          <t>Pendente</t>
        </is>
      </c>
      <c r="F819" s="4" t="inlineStr"/>
      <c r="G819" s="2">
        <f>IF(AND(E819="Concluída",LEN(TRIM(F819))&gt;0),1,0)</f>
        <v/>
      </c>
      <c r="H819" s="4" t="inlineStr"/>
    </row>
    <row r="820" ht="54" customHeight="1">
      <c r="A820" s="2" t="inlineStr">
        <is>
          <t>E082</t>
        </is>
      </c>
      <c r="B820" s="2" t="inlineStr">
        <is>
          <t>E082.09</t>
        </is>
      </c>
      <c r="C820" s="2" t="inlineStr">
        <is>
          <t>Corrigir problemas que impeçam concluir tarefas prioritárias no aparelho.</t>
        </is>
      </c>
      <c r="D820" s="2" t="inlineStr">
        <is>
          <t>Pesquisa UX, Frontend e QA</t>
        </is>
      </c>
      <c r="E820" s="4" t="inlineStr">
        <is>
          <t>Pendente</t>
        </is>
      </c>
      <c r="F820" s="4" t="inlineStr"/>
      <c r="G820" s="2">
        <f>IF(AND(E820="Concluída",LEN(TRIM(F820))&gt;0),1,0)</f>
        <v/>
      </c>
      <c r="H820" s="4" t="inlineStr"/>
    </row>
    <row r="821" ht="54" customHeight="1">
      <c r="A821" s="2" t="inlineStr">
        <is>
          <t>E082</t>
        </is>
      </c>
      <c r="B821" s="2" t="inlineStr">
        <is>
          <t>E082.10</t>
        </is>
      </c>
      <c r="C821" s="2" t="inlineStr">
        <is>
          <t>Registrar modelos, versões e resultados observados com suas limitações.</t>
        </is>
      </c>
      <c r="D821" s="2" t="inlineStr">
        <is>
          <t>Pesquisa UX, Frontend e QA</t>
        </is>
      </c>
      <c r="E821" s="4" t="inlineStr">
        <is>
          <t>Pendente</t>
        </is>
      </c>
      <c r="F821" s="4" t="inlineStr"/>
      <c r="G821" s="2">
        <f>IF(AND(E821="Concluída",LEN(TRIM(F821))&gt;0),1,0)</f>
        <v/>
      </c>
      <c r="H821" s="4" t="inlineStr"/>
    </row>
    <row r="822" ht="54" customHeight="1">
      <c r="A822" s="2" t="inlineStr">
        <is>
          <t>E083</t>
        </is>
      </c>
      <c r="B822" s="2" t="inlineStr">
        <is>
          <t>E083.01</t>
        </is>
      </c>
      <c r="C822" s="2" t="inlineStr">
        <is>
          <t>Preparar nomes extensos de produtos, cooperativas e centros de custo.</t>
        </is>
      </c>
      <c r="D822" s="2" t="inlineStr">
        <is>
          <t>Design, Frontend e QA</t>
        </is>
      </c>
      <c r="E822" s="4" t="inlineStr">
        <is>
          <t>Pendente</t>
        </is>
      </c>
      <c r="F822" s="4" t="inlineStr"/>
      <c r="G822" s="2">
        <f>IF(AND(E822="Concluída",LEN(TRIM(F822))&gt;0),1,0)</f>
        <v/>
      </c>
      <c r="H822" s="4" t="inlineStr"/>
    </row>
    <row r="823" ht="54" customHeight="1">
      <c r="A823" s="2" t="inlineStr">
        <is>
          <t>E083</t>
        </is>
      </c>
      <c r="B823" s="2" t="inlineStr">
        <is>
          <t>E083.02</t>
        </is>
      </c>
      <c r="C823" s="2" t="inlineStr">
        <is>
          <t>Testar valores altos, quantidades grandes e textos de justificativa longos.</t>
        </is>
      </c>
      <c r="D823" s="2" t="inlineStr">
        <is>
          <t>Design, Frontend e QA</t>
        </is>
      </c>
      <c r="E823" s="4" t="inlineStr">
        <is>
          <t>Pendente</t>
        </is>
      </c>
      <c r="F823" s="4" t="inlineStr"/>
      <c r="G823" s="2">
        <f>IF(AND(E823="Concluída",LEN(TRIM(F823))&gt;0),1,0)</f>
        <v/>
      </c>
      <c r="H823" s="4" t="inlineStr"/>
    </row>
    <row r="824" ht="54" customHeight="1">
      <c r="A824" s="2" t="inlineStr">
        <is>
          <t>E083</t>
        </is>
      </c>
      <c r="B824" s="2" t="inlineStr">
        <is>
          <t>E083.03</t>
        </is>
      </c>
      <c r="C824" s="2" t="inlineStr">
        <is>
          <t>Validar endereços com complementos extensos e destinos múltiplos.</t>
        </is>
      </c>
      <c r="D824" s="2" t="inlineStr">
        <is>
          <t>Design, Frontend e QA</t>
        </is>
      </c>
      <c r="E824" s="4" t="inlineStr">
        <is>
          <t>Pendente</t>
        </is>
      </c>
      <c r="F824" s="4" t="inlineStr"/>
      <c r="G824" s="2">
        <f>IF(AND(E824="Concluída",LEN(TRIM(F824))&gt;0),1,0)</f>
        <v/>
      </c>
      <c r="H824" s="4" t="inlineStr"/>
    </row>
    <row r="825" ht="54" customHeight="1">
      <c r="A825" s="2" t="inlineStr">
        <is>
          <t>E083</t>
        </is>
      </c>
      <c r="B825" s="2" t="inlineStr">
        <is>
          <t>E083.04</t>
        </is>
      </c>
      <c r="C825" s="2" t="inlineStr">
        <is>
          <t>Verificar ausência, quebra e substituição de imagens e fontes.</t>
        </is>
      </c>
      <c r="D825" s="2" t="inlineStr">
        <is>
          <t>Design, Frontend e QA</t>
        </is>
      </c>
      <c r="E825" s="4" t="inlineStr">
        <is>
          <t>Pendente</t>
        </is>
      </c>
      <c r="F825" s="4" t="inlineStr"/>
      <c r="G825" s="2">
        <f>IF(AND(E825="Concluída",LEN(TRIM(F825))&gt;0),1,0)</f>
        <v/>
      </c>
      <c r="H825" s="4" t="inlineStr"/>
    </row>
    <row r="826" ht="54" customHeight="1">
      <c r="A826" s="2" t="inlineStr">
        <is>
          <t>E083</t>
        </is>
      </c>
      <c r="B826" s="2" t="inlineStr">
        <is>
          <t>E083.05</t>
        </is>
      </c>
      <c r="C826" s="2" t="inlineStr">
        <is>
          <t>Conferir larguras pequenas, intermediárias e amplas definidas no layout.</t>
        </is>
      </c>
      <c r="D826" s="2" t="inlineStr">
        <is>
          <t>Design, Frontend e QA</t>
        </is>
      </c>
      <c r="E826" s="4" t="inlineStr">
        <is>
          <t>Pendente</t>
        </is>
      </c>
      <c r="F826" s="4" t="inlineStr"/>
      <c r="G826" s="2">
        <f>IF(AND(E826="Concluída",LEN(TRIM(F826))&gt;0),1,0)</f>
        <v/>
      </c>
      <c r="H826" s="4" t="inlineStr"/>
    </row>
    <row r="827" ht="54" customHeight="1">
      <c r="A827" s="2" t="inlineStr">
        <is>
          <t>E083</t>
        </is>
      </c>
      <c r="B827" s="2" t="inlineStr">
        <is>
          <t>E083.06</t>
        </is>
      </c>
      <c r="C827" s="2" t="inlineStr">
        <is>
          <t>Testar orientação paisagem e janelas redimensionadas durante a tarefa.</t>
        </is>
      </c>
      <c r="D827" s="2" t="inlineStr">
        <is>
          <t>Design, Frontend e QA</t>
        </is>
      </c>
      <c r="E827" s="4" t="inlineStr">
        <is>
          <t>Pendente</t>
        </is>
      </c>
      <c r="F827" s="4" t="inlineStr"/>
      <c r="G827" s="2">
        <f>IF(AND(E827="Concluída",LEN(TRIM(F827))&gt;0),1,0)</f>
        <v/>
      </c>
      <c r="H827" s="4" t="inlineStr"/>
    </row>
    <row r="828" ht="54" customHeight="1">
      <c r="A828" s="2" t="inlineStr">
        <is>
          <t>E083</t>
        </is>
      </c>
      <c r="B828" s="2" t="inlineStr">
        <is>
          <t>E083.07</t>
        </is>
      </c>
      <c r="C828" s="2" t="inlineStr">
        <is>
          <t>Restringir rolagem horizontal aos componentes que realmente a exigem.</t>
        </is>
      </c>
      <c r="D828" s="2" t="inlineStr">
        <is>
          <t>Design, Frontend e QA</t>
        </is>
      </c>
      <c r="E828" s="4" t="inlineStr">
        <is>
          <t>Pendente</t>
        </is>
      </c>
      <c r="F828" s="4" t="inlineStr"/>
      <c r="G828" s="2">
        <f>IF(AND(E828="Concluída",LEN(TRIM(F828))&gt;0),1,0)</f>
        <v/>
      </c>
      <c r="H828" s="4" t="inlineStr"/>
    </row>
    <row r="829" ht="54" customHeight="1">
      <c r="A829" s="2" t="inlineStr">
        <is>
          <t>E083</t>
        </is>
      </c>
      <c r="B829" s="2" t="inlineStr">
        <is>
          <t>E083.08</t>
        </is>
      </c>
      <c r="C829" s="2" t="inlineStr">
        <is>
          <t>Garantir acesso ao conteúdo completo quando houver truncamento visual.</t>
        </is>
      </c>
      <c r="D829" s="2" t="inlineStr">
        <is>
          <t>Design, Frontend e QA</t>
        </is>
      </c>
      <c r="E829" s="4" t="inlineStr">
        <is>
          <t>Pendente</t>
        </is>
      </c>
      <c r="F829" s="4" t="inlineStr"/>
      <c r="G829" s="2">
        <f>IF(AND(E829="Concluída",LEN(TRIM(F829))&gt;0),1,0)</f>
        <v/>
      </c>
      <c r="H829" s="4" t="inlineStr"/>
    </row>
    <row r="830" ht="54" customHeight="1">
      <c r="A830" s="2" t="inlineStr">
        <is>
          <t>E083</t>
        </is>
      </c>
      <c r="B830" s="2" t="inlineStr">
        <is>
          <t>E083.09</t>
        </is>
      </c>
      <c r="C830" s="2" t="inlineStr">
        <is>
          <t>Comparar telas implementadas com a especificação aprovada usando dados reais permitidos.</t>
        </is>
      </c>
      <c r="D830" s="2" t="inlineStr">
        <is>
          <t>Design, Frontend e QA</t>
        </is>
      </c>
      <c r="E830" s="4" t="inlineStr">
        <is>
          <t>Pendente</t>
        </is>
      </c>
      <c r="F830" s="4" t="inlineStr"/>
      <c r="G830" s="2">
        <f>IF(AND(E830="Concluída",LEN(TRIM(F830))&gt;0),1,0)</f>
        <v/>
      </c>
      <c r="H830" s="4" t="inlineStr"/>
    </row>
    <row r="831" ht="54" customHeight="1">
      <c r="A831" s="2" t="inlineStr">
        <is>
          <t>E083</t>
        </is>
      </c>
      <c r="B831" s="2" t="inlineStr">
        <is>
          <t>E083.10</t>
        </is>
      </c>
      <c r="C831" s="2" t="inlineStr">
        <is>
          <t>Resolver regressões visuais críticas e registrar a matriz validada.</t>
        </is>
      </c>
      <c r="D831" s="2" t="inlineStr">
        <is>
          <t>Design, Frontend e QA</t>
        </is>
      </c>
      <c r="E831" s="4" t="inlineStr">
        <is>
          <t>Pendente</t>
        </is>
      </c>
      <c r="F831" s="4" t="inlineStr"/>
      <c r="G831" s="2">
        <f>IF(AND(E831="Concluída",LEN(TRIM(F831))&gt;0),1,0)</f>
        <v/>
      </c>
      <c r="H831" s="4" t="inlineStr"/>
    </row>
    <row r="832" ht="54" customHeight="1">
      <c r="A832" s="2" t="inlineStr">
        <is>
          <t>E084</t>
        </is>
      </c>
      <c r="B832" s="2" t="inlineStr">
        <is>
          <t>E084.01</t>
        </is>
      </c>
      <c r="C832" s="2" t="inlineStr">
        <is>
          <t>Medir carregamento, interação e estabilidade nas páginas prioritárias.</t>
        </is>
      </c>
      <c r="D832" s="2" t="inlineStr">
        <is>
          <t>Frontend, Infraestrutura e UX</t>
        </is>
      </c>
      <c r="E832" s="4" t="inlineStr">
        <is>
          <t>Pendente</t>
        </is>
      </c>
      <c r="F832" s="4" t="inlineStr"/>
      <c r="G832" s="2">
        <f>IF(AND(E832="Concluída",LEN(TRIM(F832))&gt;0),1,0)</f>
        <v/>
      </c>
      <c r="H832" s="4" t="inlineStr"/>
    </row>
    <row r="833" ht="54" customHeight="1">
      <c r="A833" s="2" t="inlineStr">
        <is>
          <t>E084</t>
        </is>
      </c>
      <c r="B833" s="2" t="inlineStr">
        <is>
          <t>E084.02</t>
        </is>
      </c>
      <c r="C833" s="2" t="inlineStr">
        <is>
          <t>Definir orçamento de JavaScript e imagens com base na conexão do piloto.</t>
        </is>
      </c>
      <c r="D833" s="2" t="inlineStr">
        <is>
          <t>Frontend, Infraestrutura e UX</t>
        </is>
      </c>
      <c r="E833" s="4" t="inlineStr">
        <is>
          <t>Pendente</t>
        </is>
      </c>
      <c r="F833" s="4" t="inlineStr"/>
      <c r="G833" s="2">
        <f>IF(AND(E833="Concluída",LEN(TRIM(F833))&gt;0),1,0)</f>
        <v/>
      </c>
      <c r="H833" s="4" t="inlineStr"/>
    </row>
    <row r="834" ht="54" customHeight="1">
      <c r="A834" s="2" t="inlineStr">
        <is>
          <t>E084</t>
        </is>
      </c>
      <c r="B834" s="2" t="inlineStr">
        <is>
          <t>E084.03</t>
        </is>
      </c>
      <c r="C834" s="2" t="inlineStr">
        <is>
          <t>Separar recursos administrativos e pesados das rotas do comprador.</t>
        </is>
      </c>
      <c r="D834" s="2" t="inlineStr">
        <is>
          <t>Frontend, Infraestrutura e UX</t>
        </is>
      </c>
      <c r="E834" s="4" t="inlineStr">
        <is>
          <t>Pendente</t>
        </is>
      </c>
      <c r="F834" s="4" t="inlineStr"/>
      <c r="G834" s="2">
        <f>IF(AND(E834="Concluída",LEN(TRIM(F834))&gt;0),1,0)</f>
        <v/>
      </c>
      <c r="H834" s="4" t="inlineStr"/>
    </row>
    <row r="835" ht="54" customHeight="1">
      <c r="A835" s="2" t="inlineStr">
        <is>
          <t>E084</t>
        </is>
      </c>
      <c r="B835" s="2" t="inlineStr">
        <is>
          <t>E084.04</t>
        </is>
      </c>
      <c r="C835" s="2" t="inlineStr">
        <is>
          <t>Carregar PDF, voz e recursos opcionais somente quando necessários.</t>
        </is>
      </c>
      <c r="D835" s="2" t="inlineStr">
        <is>
          <t>Frontend, Infraestrutura e UX</t>
        </is>
      </c>
      <c r="E835" s="4" t="inlineStr">
        <is>
          <t>Pendente</t>
        </is>
      </c>
      <c r="F835" s="4" t="inlineStr"/>
      <c r="G835" s="2">
        <f>IF(AND(E835="Concluída",LEN(TRIM(F835))&gt;0),1,0)</f>
        <v/>
      </c>
      <c r="H835" s="4" t="inlineStr"/>
    </row>
    <row r="836" ht="54" customHeight="1">
      <c r="A836" s="2" t="inlineStr">
        <is>
          <t>E084</t>
        </is>
      </c>
      <c r="B836" s="2" t="inlineStr">
        <is>
          <t>E084.05</t>
        </is>
      </c>
      <c r="C836" s="2" t="inlineStr">
        <is>
          <t>Dimensionar imagens e reservar seu espaço para evitar deslocamentos.</t>
        </is>
      </c>
      <c r="D836" s="2" t="inlineStr">
        <is>
          <t>Frontend, Infraestrutura e UX</t>
        </is>
      </c>
      <c r="E836" s="4" t="inlineStr">
        <is>
          <t>Pendente</t>
        </is>
      </c>
      <c r="F836" s="4" t="inlineStr"/>
      <c r="G836" s="2">
        <f>IF(AND(E836="Concluída",LEN(TRIM(F836))&gt;0),1,0)</f>
        <v/>
      </c>
      <c r="H836" s="4" t="inlineStr"/>
    </row>
    <row r="837" ht="54" customHeight="1">
      <c r="A837" s="2" t="inlineStr">
        <is>
          <t>E084</t>
        </is>
      </c>
      <c r="B837" s="2" t="inlineStr">
        <is>
          <t>E084.06</t>
        </is>
      </c>
      <c r="C837" s="2" t="inlineStr">
        <is>
          <t>Reduzir consultas repetidas respeitando escopo, validade e atualização dos dados.</t>
        </is>
      </c>
      <c r="D837" s="2" t="inlineStr">
        <is>
          <t>Frontend, Infraestrutura e UX</t>
        </is>
      </c>
      <c r="E837" s="4" t="inlineStr">
        <is>
          <t>Pendente</t>
        </is>
      </c>
      <c r="F837" s="4" t="inlineStr"/>
      <c r="G837" s="2">
        <f>IF(AND(E837="Concluída",LEN(TRIM(F837))&gt;0),1,0)</f>
        <v/>
      </c>
      <c r="H837" s="4" t="inlineStr"/>
    </row>
    <row r="838" ht="54" customHeight="1">
      <c r="A838" s="2" t="inlineStr">
        <is>
          <t>E084</t>
        </is>
      </c>
      <c r="B838" s="2" t="inlineStr">
        <is>
          <t>E084.07</t>
        </is>
      </c>
      <c r="C838" s="2" t="inlineStr">
        <is>
          <t>Eliminar trabalho síncrono que atrase interação de busca e formulário.</t>
        </is>
      </c>
      <c r="D838" s="2" t="inlineStr">
        <is>
          <t>Frontend, Infraestrutura e UX</t>
        </is>
      </c>
      <c r="E838" s="4" t="inlineStr">
        <is>
          <t>Pendente</t>
        </is>
      </c>
      <c r="F838" s="4" t="inlineStr"/>
      <c r="G838" s="2">
        <f>IF(AND(E838="Concluída",LEN(TRIM(F838))&gt;0),1,0)</f>
        <v/>
      </c>
      <c r="H838" s="4" t="inlineStr"/>
    </row>
    <row r="839" ht="54" customHeight="1">
      <c r="A839" s="2" t="inlineStr">
        <is>
          <t>E084</t>
        </is>
      </c>
      <c r="B839" s="2" t="inlineStr">
        <is>
          <t>E084.08</t>
        </is>
      </c>
      <c r="C839" s="2" t="inlineStr">
        <is>
          <t>Adotar como referência de campo LCP até 2,5 segundos, INP até 200 ms e CLS até 0,1 no percentil 75.</t>
        </is>
      </c>
      <c r="D839" s="2" t="inlineStr">
        <is>
          <t>Frontend, Infraestrutura e UX</t>
        </is>
      </c>
      <c r="E839" s="4" t="inlineStr">
        <is>
          <t>Pendente</t>
        </is>
      </c>
      <c r="F839" s="4" t="inlineStr"/>
      <c r="G839" s="2">
        <f>IF(AND(E839="Concluída",LEN(TRIM(F839))&gt;0),1,0)</f>
        <v/>
      </c>
      <c r="H839" s="4" t="inlineStr"/>
    </row>
    <row r="840" ht="54" customHeight="1">
      <c r="A840" s="2" t="inlineStr">
        <is>
          <t>E084</t>
        </is>
      </c>
      <c r="B840" s="2" t="inlineStr">
        <is>
          <t>E084.09</t>
        </is>
      </c>
      <c r="C840" s="2" t="inlineStr">
        <is>
          <t>Medir laboratório com cenário documentado e preparar coleta de campo após lançamento.</t>
        </is>
      </c>
      <c r="D840" s="2" t="inlineStr">
        <is>
          <t>Frontend, Infraestrutura e UX</t>
        </is>
      </c>
      <c r="E840" s="4" t="inlineStr">
        <is>
          <t>Pendente</t>
        </is>
      </c>
      <c r="F840" s="4" t="inlineStr"/>
      <c r="G840" s="2">
        <f>IF(AND(E840="Concluída",LEN(TRIM(F840))&gt;0),1,0)</f>
        <v/>
      </c>
      <c r="H840" s="4" t="inlineStr"/>
    </row>
    <row r="841" ht="54" customHeight="1">
      <c r="A841" s="2" t="inlineStr">
        <is>
          <t>E084</t>
        </is>
      </c>
      <c r="B841" s="2" t="inlineStr">
        <is>
          <t>E084.10</t>
        </is>
      </c>
      <c r="C841" s="2" t="inlineStr">
        <is>
          <t>Repetir medições após otimização e registrar orçamento atendido e limitações de amostra.</t>
        </is>
      </c>
      <c r="D841" s="2" t="inlineStr">
        <is>
          <t>Frontend, Infraestrutura e UX</t>
        </is>
      </c>
      <c r="E841" s="4" t="inlineStr">
        <is>
          <t>Pendente</t>
        </is>
      </c>
      <c r="F841" s="4" t="inlineStr"/>
      <c r="G841" s="2">
        <f>IF(AND(E841="Concluída",LEN(TRIM(F841))&gt;0),1,0)</f>
        <v/>
      </c>
      <c r="H841" s="4" t="inlineStr"/>
    </row>
    <row r="842" ht="54" customHeight="1">
      <c r="A842" s="2" t="inlineStr">
        <is>
          <t>E085</t>
        </is>
      </c>
      <c r="B842" s="2" t="inlineStr">
        <is>
          <t>E085.01</t>
        </is>
      </c>
      <c r="C842" s="2" t="inlineStr">
        <is>
          <t>Simular catálogo fora do ar durante busca e montagem de proposta.</t>
        </is>
      </c>
      <c r="D842" s="2" t="inlineStr">
        <is>
          <t>Backend, Frontend e QA</t>
        </is>
      </c>
      <c r="E842" s="4" t="inlineStr">
        <is>
          <t>Pendente</t>
        </is>
      </c>
      <c r="F842" s="4" t="inlineStr"/>
      <c r="G842" s="2">
        <f>IF(AND(E842="Concluída",LEN(TRIM(F842))&gt;0),1,0)</f>
        <v/>
      </c>
      <c r="H842" s="4" t="inlineStr"/>
    </row>
    <row r="843" ht="54" customHeight="1">
      <c r="A843" s="2" t="inlineStr">
        <is>
          <t>E085</t>
        </is>
      </c>
      <c r="B843" s="2" t="inlineStr">
        <is>
          <t>E085.02</t>
        </is>
      </c>
      <c r="C843" s="2" t="inlineStr">
        <is>
          <t>Testar expiração de cache sem exibir disponibilidade antiga como confirmada.</t>
        </is>
      </c>
      <c r="D843" s="2" t="inlineStr">
        <is>
          <t>Backend, Frontend e QA</t>
        </is>
      </c>
      <c r="E843" s="4" t="inlineStr">
        <is>
          <t>Pendente</t>
        </is>
      </c>
      <c r="F843" s="4" t="inlineStr"/>
      <c r="G843" s="2">
        <f>IF(AND(E843="Concluída",LEN(TRIM(F843))&gt;0),1,0)</f>
        <v/>
      </c>
      <c r="H843" s="4" t="inlineStr"/>
    </row>
    <row r="844" ht="54" customHeight="1">
      <c r="A844" s="2" t="inlineStr">
        <is>
          <t>E085</t>
        </is>
      </c>
      <c r="B844" s="2" t="inlineStr">
        <is>
          <t>E085.03</t>
        </is>
      </c>
      <c r="C844" s="2" t="inlineStr">
        <is>
          <t>Interromper conexão antes e depois do envio de uma solicitação.</t>
        </is>
      </c>
      <c r="D844" s="2" t="inlineStr">
        <is>
          <t>Backend, Frontend e QA</t>
        </is>
      </c>
      <c r="E844" s="4" t="inlineStr">
        <is>
          <t>Pendente</t>
        </is>
      </c>
      <c r="F844" s="4" t="inlineStr"/>
      <c r="G844" s="2">
        <f>IF(AND(E844="Concluída",LEN(TRIM(F844))&gt;0),1,0)</f>
        <v/>
      </c>
      <c r="H844" s="4" t="inlineStr"/>
    </row>
    <row r="845" ht="54" customHeight="1">
      <c r="A845" s="2" t="inlineStr">
        <is>
          <t>E085</t>
        </is>
      </c>
      <c r="B845" s="2" t="inlineStr">
        <is>
          <t>E085.04</t>
        </is>
      </c>
      <c r="C845" s="2" t="inlineStr">
        <is>
          <t>Verificar repetição controlada de chamadas idempotentes.</t>
        </is>
      </c>
      <c r="D845" s="2" t="inlineStr">
        <is>
          <t>Backend, Frontend e QA</t>
        </is>
      </c>
      <c r="E845" s="4" t="inlineStr">
        <is>
          <t>Pendente</t>
        </is>
      </c>
      <c r="F845" s="4" t="inlineStr"/>
      <c r="G845" s="2">
        <f>IF(AND(E845="Concluída",LEN(TRIM(F845))&gt;0),1,0)</f>
        <v/>
      </c>
      <c r="H845" s="4" t="inlineStr"/>
    </row>
    <row r="846" ht="54" customHeight="1">
      <c r="A846" s="2" t="inlineStr">
        <is>
          <t>E085</t>
        </is>
      </c>
      <c r="B846" s="2" t="inlineStr">
        <is>
          <t>E085.05</t>
        </is>
      </c>
      <c r="C846" s="2" t="inlineStr">
        <is>
          <t>Simular sessão expirada durante preenchimento e decisão.</t>
        </is>
      </c>
      <c r="D846" s="2" t="inlineStr">
        <is>
          <t>Backend, Frontend e QA</t>
        </is>
      </c>
      <c r="E846" s="4" t="inlineStr">
        <is>
          <t>Pendente</t>
        </is>
      </c>
      <c r="F846" s="4" t="inlineStr"/>
      <c r="G846" s="2">
        <f>IF(AND(E846="Concluída",LEN(TRIM(F846))&gt;0),1,0)</f>
        <v/>
      </c>
      <c r="H846" s="4" t="inlineStr"/>
    </row>
    <row r="847" ht="54" customHeight="1">
      <c r="A847" s="2" t="inlineStr">
        <is>
          <t>E085</t>
        </is>
      </c>
      <c r="B847" s="2" t="inlineStr">
        <is>
          <t>E085.06</t>
        </is>
      </c>
      <c r="C847" s="2" t="inlineStr">
        <is>
          <t>Testar conflito de versão com dois usuários atuando no mesmo pedido.</t>
        </is>
      </c>
      <c r="D847" s="2" t="inlineStr">
        <is>
          <t>Backend, Frontend e QA</t>
        </is>
      </c>
      <c r="E847" s="4" t="inlineStr">
        <is>
          <t>Pendente</t>
        </is>
      </c>
      <c r="F847" s="4" t="inlineStr"/>
      <c r="G847" s="2">
        <f>IF(AND(E847="Concluída",LEN(TRIM(F847))&gt;0),1,0)</f>
        <v/>
      </c>
      <c r="H847" s="4" t="inlineStr"/>
    </row>
    <row r="848" ht="54" customHeight="1">
      <c r="A848" s="2" t="inlineStr">
        <is>
          <t>E085</t>
        </is>
      </c>
      <c r="B848" s="2" t="inlineStr">
        <is>
          <t>E085.07</t>
        </is>
      </c>
      <c r="C848" s="2" t="inlineStr">
        <is>
          <t>Validar retomada após atualização da aplicação e falha de carregamento de rota.</t>
        </is>
      </c>
      <c r="D848" s="2" t="inlineStr">
        <is>
          <t>Backend, Frontend e QA</t>
        </is>
      </c>
      <c r="E848" s="4" t="inlineStr">
        <is>
          <t>Pendente</t>
        </is>
      </c>
      <c r="F848" s="4" t="inlineStr"/>
      <c r="G848" s="2">
        <f>IF(AND(E848="Concluída",LEN(TRIM(F848))&gt;0),1,0)</f>
        <v/>
      </c>
      <c r="H848" s="4" t="inlineStr"/>
    </row>
    <row r="849" ht="54" customHeight="1">
      <c r="A849" s="2" t="inlineStr">
        <is>
          <t>E085</t>
        </is>
      </c>
      <c r="B849" s="2" t="inlineStr">
        <is>
          <t>E085.08</t>
        </is>
      </c>
      <c r="C849" s="2" t="inlineStr">
        <is>
          <t>Impedir aprovação financeira offline ou sem resposta confirmada do servidor.</t>
        </is>
      </c>
      <c r="D849" s="2" t="inlineStr">
        <is>
          <t>Backend, Frontend e QA</t>
        </is>
      </c>
      <c r="E849" s="4" t="inlineStr">
        <is>
          <t>Pendente</t>
        </is>
      </c>
      <c r="F849" s="4" t="inlineStr"/>
      <c r="G849" s="2">
        <f>IF(AND(E849="Concluída",LEN(TRIM(F849))&gt;0),1,0)</f>
        <v/>
      </c>
      <c r="H849" s="4" t="inlineStr"/>
    </row>
    <row r="850" ht="54" customHeight="1">
      <c r="A850" s="2" t="inlineStr">
        <is>
          <t>E085</t>
        </is>
      </c>
      <c r="B850" s="2" t="inlineStr">
        <is>
          <t>E085.09</t>
        </is>
      </c>
      <c r="C850" s="2" t="inlineStr">
        <is>
          <t>Garantir mensagem com próxima ação segura em cada falha observada.</t>
        </is>
      </c>
      <c r="D850" s="2" t="inlineStr">
        <is>
          <t>Backend, Frontend e QA</t>
        </is>
      </c>
      <c r="E850" s="4" t="inlineStr">
        <is>
          <t>Pendente</t>
        </is>
      </c>
      <c r="F850" s="4" t="inlineStr"/>
      <c r="G850" s="2">
        <f>IF(AND(E850="Concluída",LEN(TRIM(F850))&gt;0),1,0)</f>
        <v/>
      </c>
      <c r="H850" s="4" t="inlineStr"/>
    </row>
    <row r="851" ht="54" customHeight="1">
      <c r="A851" s="2" t="inlineStr">
        <is>
          <t>E085</t>
        </is>
      </c>
      <c r="B851" s="2" t="inlineStr">
        <is>
          <t>E085.10</t>
        </is>
      </c>
      <c r="C851" s="2" t="inlineStr">
        <is>
          <t>Registrar recuperação e conciliação dos dados após os cenários de interrupção.</t>
        </is>
      </c>
      <c r="D851" s="2" t="inlineStr">
        <is>
          <t>Backend, Frontend e QA</t>
        </is>
      </c>
      <c r="E851" s="4" t="inlineStr">
        <is>
          <t>Pendente</t>
        </is>
      </c>
      <c r="F851" s="4" t="inlineStr"/>
      <c r="G851" s="2">
        <f>IF(AND(E851="Concluída",LEN(TRIM(F851))&gt;0),1,0)</f>
        <v/>
      </c>
      <c r="H851" s="4" t="inlineStr"/>
    </row>
    <row r="852" ht="54" customHeight="1">
      <c r="A852" s="2" t="inlineStr">
        <is>
          <t>E086</t>
        </is>
      </c>
      <c r="B852" s="2" t="inlineStr">
        <is>
          <t>E086.01</t>
        </is>
      </c>
      <c r="C852" s="2" t="inlineStr">
        <is>
          <t>Definir matriz de ataque com duas cooperativas e múltiplos papéis.</t>
        </is>
      </c>
      <c r="D852" s="2" t="inlineStr">
        <is>
          <t>Segurança, Backend e QA</t>
        </is>
      </c>
      <c r="E852" s="4" t="inlineStr">
        <is>
          <t>Pendente</t>
        </is>
      </c>
      <c r="F852" s="4" t="inlineStr"/>
      <c r="G852" s="2">
        <f>IF(AND(E852="Concluída",LEN(TRIM(F852))&gt;0),1,0)</f>
        <v/>
      </c>
      <c r="H852" s="4" t="inlineStr"/>
    </row>
    <row r="853" ht="54" customHeight="1">
      <c r="A853" s="2" t="inlineStr">
        <is>
          <t>E086</t>
        </is>
      </c>
      <c r="B853" s="2" t="inlineStr">
        <is>
          <t>E086.02</t>
        </is>
      </c>
      <c r="C853" s="2" t="inlineStr">
        <is>
          <t>Testar leitura e alteração direta de IDs fora do escopo autorizado.</t>
        </is>
      </c>
      <c r="D853" s="2" t="inlineStr">
        <is>
          <t>Segurança, Backend e QA</t>
        </is>
      </c>
      <c r="E853" s="4" t="inlineStr">
        <is>
          <t>Pendente</t>
        </is>
      </c>
      <c r="F853" s="4" t="inlineStr"/>
      <c r="G853" s="2">
        <f>IF(AND(E853="Concluída",LEN(TRIM(F853))&gt;0),1,0)</f>
        <v/>
      </c>
      <c r="H853" s="4" t="inlineStr"/>
    </row>
    <row r="854" ht="54" customHeight="1">
      <c r="A854" s="2" t="inlineStr">
        <is>
          <t>E086</t>
        </is>
      </c>
      <c r="B854" s="2" t="inlineStr">
        <is>
          <t>E086.03</t>
        </is>
      </c>
      <c r="C854" s="2" t="inlineStr">
        <is>
          <t>Tentar aprovar pedido com ator ou vínculo adulterado.</t>
        </is>
      </c>
      <c r="D854" s="2" t="inlineStr">
        <is>
          <t>Segurança, Backend e QA</t>
        </is>
      </c>
      <c r="E854" s="4" t="inlineStr">
        <is>
          <t>Pendente</t>
        </is>
      </c>
      <c r="F854" s="4" t="inlineStr"/>
      <c r="G854" s="2">
        <f>IF(AND(E854="Concluída",LEN(TRIM(F854))&gt;0),1,0)</f>
        <v/>
      </c>
      <c r="H854" s="4" t="inlineStr"/>
    </row>
    <row r="855" ht="54" customHeight="1">
      <c r="A855" s="2" t="inlineStr">
        <is>
          <t>E086</t>
        </is>
      </c>
      <c r="B855" s="2" t="inlineStr">
        <is>
          <t>E086.04</t>
        </is>
      </c>
      <c r="C855" s="2" t="inlineStr">
        <is>
          <t>Verificar reaproveitamento de token expirado ou link revogado.</t>
        </is>
      </c>
      <c r="D855" s="2" t="inlineStr">
        <is>
          <t>Segurança, Backend e QA</t>
        </is>
      </c>
      <c r="E855" s="4" t="inlineStr">
        <is>
          <t>Pendente</t>
        </is>
      </c>
      <c r="F855" s="4" t="inlineStr"/>
      <c r="G855" s="2">
        <f>IF(AND(E855="Concluída",LEN(TRIM(F855))&gt;0),1,0)</f>
        <v/>
      </c>
      <c r="H855" s="4" t="inlineStr"/>
    </row>
    <row r="856" ht="54" customHeight="1">
      <c r="A856" s="2" t="inlineStr">
        <is>
          <t>E086</t>
        </is>
      </c>
      <c r="B856" s="2" t="inlineStr">
        <is>
          <t>E086.05</t>
        </is>
      </c>
      <c r="C856" s="2" t="inlineStr">
        <is>
          <t>Validar acesso a arte, nota fiscal e comprovante de outra organização.</t>
        </is>
      </c>
      <c r="D856" s="2" t="inlineStr">
        <is>
          <t>Segurança, Backend e QA</t>
        </is>
      </c>
      <c r="E856" s="4" t="inlineStr">
        <is>
          <t>Pendente</t>
        </is>
      </c>
      <c r="F856" s="4" t="inlineStr"/>
      <c r="G856" s="2">
        <f>IF(AND(E856="Concluída",LEN(TRIM(F856))&gt;0),1,0)</f>
        <v/>
      </c>
      <c r="H856" s="4" t="inlineStr"/>
    </row>
    <row r="857" ht="54" customHeight="1">
      <c r="A857" s="2" t="inlineStr">
        <is>
          <t>E086</t>
        </is>
      </c>
      <c r="B857" s="2" t="inlineStr">
        <is>
          <t>E086.06</t>
        </is>
      </c>
      <c r="C857" s="2" t="inlineStr">
        <is>
          <t>Inspecionar exposição de custos internos, segredos e diagnósticos no navegador.</t>
        </is>
      </c>
      <c r="D857" s="2" t="inlineStr">
        <is>
          <t>Segurança, Backend e QA</t>
        </is>
      </c>
      <c r="E857" s="4" t="inlineStr">
        <is>
          <t>Pendente</t>
        </is>
      </c>
      <c r="F857" s="4" t="inlineStr"/>
      <c r="G857" s="2">
        <f>IF(AND(E857="Concluída",LEN(TRIM(F857))&gt;0),1,0)</f>
        <v/>
      </c>
      <c r="H857" s="4" t="inlineStr"/>
    </row>
    <row r="858" ht="54" customHeight="1">
      <c r="A858" s="2" t="inlineStr">
        <is>
          <t>E086</t>
        </is>
      </c>
      <c r="B858" s="2" t="inlineStr">
        <is>
          <t>E086.07</t>
        </is>
      </c>
      <c r="C858" s="2" t="inlineStr">
        <is>
          <t>Testar concessão indevida de papel e delegação fora da competência.</t>
        </is>
      </c>
      <c r="D858" s="2" t="inlineStr">
        <is>
          <t>Segurança, Backend e QA</t>
        </is>
      </c>
      <c r="E858" s="4" t="inlineStr">
        <is>
          <t>Pendente</t>
        </is>
      </c>
      <c r="F858" s="4" t="inlineStr"/>
      <c r="G858" s="2">
        <f>IF(AND(E858="Concluída",LEN(TRIM(F858))&gt;0),1,0)</f>
        <v/>
      </c>
      <c r="H858" s="4" t="inlineStr"/>
    </row>
    <row r="859" ht="54" customHeight="1">
      <c r="A859" s="2" t="inlineStr">
        <is>
          <t>E086</t>
        </is>
      </c>
      <c r="B859" s="2" t="inlineStr">
        <is>
          <t>E086.08</t>
        </is>
      </c>
      <c r="C859" s="2" t="inlineStr">
        <is>
          <t>Verificar proteção contra repetição e corrida nas decisões financeiras.</t>
        </is>
      </c>
      <c r="D859" s="2" t="inlineStr">
        <is>
          <t>Segurança, Backend e QA</t>
        </is>
      </c>
      <c r="E859" s="4" t="inlineStr">
        <is>
          <t>Pendente</t>
        </is>
      </c>
      <c r="F859" s="4" t="inlineStr"/>
      <c r="G859" s="2">
        <f>IF(AND(E859="Concluída",LEN(TRIM(F859))&gt;0),1,0)</f>
        <v/>
      </c>
      <c r="H859" s="4" t="inlineStr"/>
    </row>
    <row r="860" ht="54" customHeight="1">
      <c r="A860" s="2" t="inlineStr">
        <is>
          <t>E086</t>
        </is>
      </c>
      <c r="B860" s="2" t="inlineStr">
        <is>
          <t>E086.09</t>
        </is>
      </c>
      <c r="C860" s="2" t="inlineStr">
        <is>
          <t>Corrigir falhas e repetir os casos negativos que as demonstraram.</t>
        </is>
      </c>
      <c r="D860" s="2" t="inlineStr">
        <is>
          <t>Segurança, Backend e QA</t>
        </is>
      </c>
      <c r="E860" s="4" t="inlineStr">
        <is>
          <t>Pendente</t>
        </is>
      </c>
      <c r="F860" s="4" t="inlineStr"/>
      <c r="G860" s="2">
        <f>IF(AND(E860="Concluída",LEN(TRIM(F860))&gt;0),1,0)</f>
        <v/>
      </c>
      <c r="H860" s="4" t="inlineStr"/>
    </row>
    <row r="861" ht="54" customHeight="1">
      <c r="A861" s="2" t="inlineStr">
        <is>
          <t>E086</t>
        </is>
      </c>
      <c r="B861" s="2" t="inlineStr">
        <is>
          <t>E086.10</t>
        </is>
      </c>
      <c r="C861" s="2" t="inlineStr">
        <is>
          <t>Publicar evidências revisadas sem divulgar segredos ou instruções operacionais de exploração.</t>
        </is>
      </c>
      <c r="D861" s="2" t="inlineStr">
        <is>
          <t>Segurança, Backend e QA</t>
        </is>
      </c>
      <c r="E861" s="4" t="inlineStr">
        <is>
          <t>Pendente</t>
        </is>
      </c>
      <c r="F861" s="4" t="inlineStr"/>
      <c r="G861" s="2">
        <f>IF(AND(E861="Concluída",LEN(TRIM(F861))&gt;0),1,0)</f>
        <v/>
      </c>
      <c r="H861" s="4" t="inlineStr"/>
    </row>
    <row r="862" ht="54" customHeight="1">
      <c r="A862" s="2" t="inlineStr">
        <is>
          <t>E087</t>
        </is>
      </c>
      <c r="B862" s="2" t="inlineStr">
        <is>
          <t>E087.01</t>
        </is>
      </c>
      <c r="C862" s="2" t="inlineStr">
        <is>
          <t>Inventariar dados pessoais realmente tratados nas jornadas propostas.</t>
        </is>
      </c>
      <c r="D862" s="2" t="inlineStr">
        <is>
          <t>Responsável por privacidade, Produto e Segurança</t>
        </is>
      </c>
      <c r="E862" s="4" t="inlineStr">
        <is>
          <t>Pendente</t>
        </is>
      </c>
      <c r="F862" s="4" t="inlineStr"/>
      <c r="G862" s="2">
        <f>IF(AND(E862="Concluída",LEN(TRIM(F862))&gt;0),1,0)</f>
        <v/>
      </c>
      <c r="H862" s="4" t="inlineStr"/>
    </row>
    <row r="863" ht="54" customHeight="1">
      <c r="A863" s="2" t="inlineStr">
        <is>
          <t>E087</t>
        </is>
      </c>
      <c r="B863" s="2" t="inlineStr">
        <is>
          <t>E087.02</t>
        </is>
      </c>
      <c r="C863" s="2" t="inlineStr">
        <is>
          <t>Relacionar cada dado à finalidade operacional e ao responsável pelo tratamento.</t>
        </is>
      </c>
      <c r="D863" s="2" t="inlineStr">
        <is>
          <t>Responsável por privacidade, Produto e Segurança</t>
        </is>
      </c>
      <c r="E863" s="4" t="inlineStr">
        <is>
          <t>Pendente</t>
        </is>
      </c>
      <c r="F863" s="4" t="inlineStr"/>
      <c r="G863" s="2">
        <f>IF(AND(E863="Concluída",LEN(TRIM(F863))&gt;0),1,0)</f>
        <v/>
      </c>
      <c r="H863" s="4" t="inlineStr"/>
    </row>
    <row r="864" ht="54" customHeight="1">
      <c r="A864" s="2" t="inlineStr">
        <is>
          <t>E087</t>
        </is>
      </c>
      <c r="B864" s="2" t="inlineStr">
        <is>
          <t>E087.03</t>
        </is>
      </c>
      <c r="C864" s="2" t="inlineStr">
        <is>
          <t>Revisar necessidade de contatos pessoais e dados de destinatários individuais.</t>
        </is>
      </c>
      <c r="D864" s="2" t="inlineStr">
        <is>
          <t>Responsável por privacidade, Produto e Segurança</t>
        </is>
      </c>
      <c r="E864" s="4" t="inlineStr">
        <is>
          <t>Pendente</t>
        </is>
      </c>
      <c r="F864" s="4" t="inlineStr"/>
      <c r="G864" s="2">
        <f>IF(AND(E864="Concluída",LEN(TRIM(F864))&gt;0),1,0)</f>
        <v/>
      </c>
      <c r="H864" s="4" t="inlineStr"/>
    </row>
    <row r="865" ht="54" customHeight="1">
      <c r="A865" s="2" t="inlineStr">
        <is>
          <t>E087</t>
        </is>
      </c>
      <c r="B865" s="2" t="inlineStr">
        <is>
          <t>E087.04</t>
        </is>
      </c>
      <c r="C865" s="2" t="inlineStr">
        <is>
          <t>Evitar importar cadastro de cooperados sem finalidade e escopo aprovados.</t>
        </is>
      </c>
      <c r="D865" s="2" t="inlineStr">
        <is>
          <t>Responsável por privacidade, Produto e Segurança</t>
        </is>
      </c>
      <c r="E865" s="4" t="inlineStr">
        <is>
          <t>Pendente</t>
        </is>
      </c>
      <c r="F865" s="4" t="inlineStr"/>
      <c r="G865" s="2">
        <f>IF(AND(E865="Concluída",LEN(TRIM(F865))&gt;0),1,0)</f>
        <v/>
      </c>
      <c r="H865" s="4" t="inlineStr"/>
    </row>
    <row r="866" ht="54" customHeight="1">
      <c r="A866" s="2" t="inlineStr">
        <is>
          <t>E087</t>
        </is>
      </c>
      <c r="B866" s="2" t="inlineStr">
        <is>
          <t>E087.05</t>
        </is>
      </c>
      <c r="C866" s="2" t="inlineStr">
        <is>
          <t>Definir acesso a documentos e logs conforme a necessidade de trabalho.</t>
        </is>
      </c>
      <c r="D866" s="2" t="inlineStr">
        <is>
          <t>Responsável por privacidade, Produto e Segurança</t>
        </is>
      </c>
      <c r="E866" s="4" t="inlineStr">
        <is>
          <t>Pendente</t>
        </is>
      </c>
      <c r="F866" s="4" t="inlineStr"/>
      <c r="G866" s="2">
        <f>IF(AND(E866="Concluída",LEN(TRIM(F866))&gt;0),1,0)</f>
        <v/>
      </c>
      <c r="H866" s="4" t="inlineStr"/>
    </row>
    <row r="867" ht="54" customHeight="1">
      <c r="A867" s="2" t="inlineStr">
        <is>
          <t>E087</t>
        </is>
      </c>
      <c r="B867" s="2" t="inlineStr">
        <is>
          <t>E087.06</t>
        </is>
      </c>
      <c r="C867" s="2" t="inlineStr">
        <is>
          <t>Validar com o responsável competente bases, avisos e procedimentos aplicáveis.</t>
        </is>
      </c>
      <c r="D867" s="2" t="inlineStr">
        <is>
          <t>Responsável por privacidade, Produto e Segurança</t>
        </is>
      </c>
      <c r="E867" s="4" t="inlineStr">
        <is>
          <t>Pendente</t>
        </is>
      </c>
      <c r="F867" s="4" t="inlineStr"/>
      <c r="G867" s="2">
        <f>IF(AND(E867="Concluída",LEN(TRIM(F867))&gt;0),1,0)</f>
        <v/>
      </c>
      <c r="H867" s="4" t="inlineStr"/>
    </row>
    <row r="868" ht="54" customHeight="1">
      <c r="A868" s="2" t="inlineStr">
        <is>
          <t>E087</t>
        </is>
      </c>
      <c r="B868" s="2" t="inlineStr">
        <is>
          <t>E087.07</t>
        </is>
      </c>
      <c r="C868" s="2" t="inlineStr">
        <is>
          <t>Estabelecer retenção e exclusão compatíveis com documentos e obrigações reais.</t>
        </is>
      </c>
      <c r="D868" s="2" t="inlineStr">
        <is>
          <t>Responsável por privacidade, Produto e Segurança</t>
        </is>
      </c>
      <c r="E868" s="4" t="inlineStr">
        <is>
          <t>Pendente</t>
        </is>
      </c>
      <c r="F868" s="4" t="inlineStr"/>
      <c r="G868" s="2">
        <f>IF(AND(E868="Concluída",LEN(TRIM(F868))&gt;0),1,0)</f>
        <v/>
      </c>
      <c r="H868" s="4" t="inlineStr"/>
    </row>
    <row r="869" ht="54" customHeight="1">
      <c r="A869" s="2" t="inlineStr">
        <is>
          <t>E087</t>
        </is>
      </c>
      <c r="B869" s="2" t="inlineStr">
        <is>
          <t>E087.08</t>
        </is>
      </c>
      <c r="C869" s="2" t="inlineStr">
        <is>
          <t>Minimizar dados coletados por métricas, suporte e ferramentas externas.</t>
        </is>
      </c>
      <c r="D869" s="2" t="inlineStr">
        <is>
          <t>Responsável por privacidade, Produto e Segurança</t>
        </is>
      </c>
      <c r="E869" s="4" t="inlineStr">
        <is>
          <t>Pendente</t>
        </is>
      </c>
      <c r="F869" s="4" t="inlineStr"/>
      <c r="G869" s="2">
        <f>IF(AND(E869="Concluída",LEN(TRIM(F869))&gt;0),1,0)</f>
        <v/>
      </c>
      <c r="H869" s="4" t="inlineStr"/>
    </row>
    <row r="870" ht="54" customHeight="1">
      <c r="A870" s="2" t="inlineStr">
        <is>
          <t>E087</t>
        </is>
      </c>
      <c r="B870" s="2" t="inlineStr">
        <is>
          <t>E087.09</t>
        </is>
      </c>
      <c r="C870" s="2" t="inlineStr">
        <is>
          <t>Ensaiar atendimento de solicitação e revogação de acesso em ambiente segregado.</t>
        </is>
      </c>
      <c r="D870" s="2" t="inlineStr">
        <is>
          <t>Responsável por privacidade, Produto e Segurança</t>
        </is>
      </c>
      <c r="E870" s="4" t="inlineStr">
        <is>
          <t>Pendente</t>
        </is>
      </c>
      <c r="F870" s="4" t="inlineStr"/>
      <c r="G870" s="2">
        <f>IF(AND(E870="Concluída",LEN(TRIM(F870))&gt;0),1,0)</f>
        <v/>
      </c>
      <c r="H870" s="4" t="inlineStr"/>
    </row>
    <row r="871" ht="54" customHeight="1">
      <c r="A871" s="2" t="inlineStr">
        <is>
          <t>E087</t>
        </is>
      </c>
      <c r="B871" s="2" t="inlineStr">
        <is>
          <t>E087.10</t>
        </is>
      </c>
      <c r="C871" s="2" t="inlineStr">
        <is>
          <t>Registrar aprovação das práticas e incorporar apenas avisos úteis ao usuário.</t>
        </is>
      </c>
      <c r="D871" s="2" t="inlineStr">
        <is>
          <t>Responsável por privacidade, Produto e Segurança</t>
        </is>
      </c>
      <c r="E871" s="4" t="inlineStr">
        <is>
          <t>Pendente</t>
        </is>
      </c>
      <c r="F871" s="4" t="inlineStr"/>
      <c r="G871" s="2">
        <f>IF(AND(E871="Concluída",LEN(TRIM(F871))&gt;0),1,0)</f>
        <v/>
      </c>
      <c r="H871" s="4" t="inlineStr"/>
    </row>
    <row r="872" ht="54" customHeight="1">
      <c r="A872" s="2" t="inlineStr">
        <is>
          <t>E088</t>
        </is>
      </c>
      <c r="B872" s="2" t="inlineStr">
        <is>
          <t>E088.01</t>
        </is>
      </c>
      <c r="C872" s="2" t="inlineStr">
        <is>
          <t>Preparar tarefas realistas de campanha, cotação, aprovação e recebimento.</t>
        </is>
      </c>
      <c r="D872" s="2" t="inlineStr">
        <is>
          <t>Pesquisa UX, Compras e Marketing</t>
        </is>
      </c>
      <c r="E872" s="4" t="inlineStr">
        <is>
          <t>Pendente</t>
        </is>
      </c>
      <c r="F872" s="4" t="inlineStr"/>
      <c r="G872" s="2">
        <f>IF(AND(E872="Concluída",LEN(TRIM(F872))&gt;0),1,0)</f>
        <v/>
      </c>
      <c r="H872" s="4" t="inlineStr"/>
    </row>
    <row r="873" ht="54" customHeight="1">
      <c r="A873" s="2" t="inlineStr">
        <is>
          <t>E088</t>
        </is>
      </c>
      <c r="B873" s="2" t="inlineStr">
        <is>
          <t>E088.02</t>
        </is>
      </c>
      <c r="C873" s="2" t="inlineStr">
        <is>
          <t>Selecionar participantes dos papéis prioritários com consentimento adequado.</t>
        </is>
      </c>
      <c r="D873" s="2" t="inlineStr">
        <is>
          <t>Pesquisa UX, Compras e Marketing</t>
        </is>
      </c>
      <c r="E873" s="4" t="inlineStr">
        <is>
          <t>Pendente</t>
        </is>
      </c>
      <c r="F873" s="4" t="inlineStr"/>
      <c r="G873" s="2">
        <f>IF(AND(E873="Concluída",LEN(TRIM(F873))&gt;0),1,0)</f>
        <v/>
      </c>
      <c r="H873" s="4" t="inlineStr"/>
    </row>
    <row r="874" ht="54" customHeight="1">
      <c r="A874" s="2" t="inlineStr">
        <is>
          <t>E088</t>
        </is>
      </c>
      <c r="B874" s="2" t="inlineStr">
        <is>
          <t>E088.03</t>
        </is>
      </c>
      <c r="C874" s="2" t="inlineStr">
        <is>
          <t>Definir sucesso da tarefa, erros e necessidade de ajuda antes das sessões.</t>
        </is>
      </c>
      <c r="D874" s="2" t="inlineStr">
        <is>
          <t>Pesquisa UX, Compras e Marketing</t>
        </is>
      </c>
      <c r="E874" s="4" t="inlineStr">
        <is>
          <t>Pendente</t>
        </is>
      </c>
      <c r="F874" s="4" t="inlineStr"/>
      <c r="G874" s="2">
        <f>IF(AND(E874="Concluída",LEN(TRIM(F874))&gt;0),1,0)</f>
        <v/>
      </c>
      <c r="H874" s="4" t="inlineStr"/>
    </row>
    <row r="875" ht="54" customHeight="1">
      <c r="A875" s="2" t="inlineStr">
        <is>
          <t>E088</t>
        </is>
      </c>
      <c r="B875" s="2" t="inlineStr">
        <is>
          <t>E088.04</t>
        </is>
      </c>
      <c r="C875" s="2" t="inlineStr">
        <is>
          <t>Observar execução sem ensinar a sequência de ações desejada.</t>
        </is>
      </c>
      <c r="D875" s="2" t="inlineStr">
        <is>
          <t>Pesquisa UX, Compras e Marketing</t>
        </is>
      </c>
      <c r="E875" s="4" t="inlineStr">
        <is>
          <t>Pendente</t>
        </is>
      </c>
      <c r="F875" s="4" t="inlineStr"/>
      <c r="G875" s="2">
        <f>IF(AND(E875="Concluída",LEN(TRIM(F875))&gt;0),1,0)</f>
        <v/>
      </c>
      <c r="H875" s="4" t="inlineStr"/>
    </row>
    <row r="876" ht="54" customHeight="1">
      <c r="A876" s="2" t="inlineStr">
        <is>
          <t>E088</t>
        </is>
      </c>
      <c r="B876" s="2" t="inlineStr">
        <is>
          <t>E088.05</t>
        </is>
      </c>
      <c r="C876" s="2" t="inlineStr">
        <is>
          <t>Registrar dúvidas de custo, prazo, política e versão de arte.</t>
        </is>
      </c>
      <c r="D876" s="2" t="inlineStr">
        <is>
          <t>Pesquisa UX, Compras e Marketing</t>
        </is>
      </c>
      <c r="E876" s="4" t="inlineStr">
        <is>
          <t>Pendente</t>
        </is>
      </c>
      <c r="F876" s="4" t="inlineStr"/>
      <c r="G876" s="2">
        <f>IF(AND(E876="Concluída",LEN(TRIM(F876))&gt;0),1,0)</f>
        <v/>
      </c>
      <c r="H876" s="4" t="inlineStr"/>
    </row>
    <row r="877" ht="54" customHeight="1">
      <c r="A877" s="2" t="inlineStr">
        <is>
          <t>E088</t>
        </is>
      </c>
      <c r="B877" s="2" t="inlineStr">
        <is>
          <t>E088.06</t>
        </is>
      </c>
      <c r="C877" s="2" t="inlineStr">
        <is>
          <t>Incluir cenário de devolução, saldo insuficiente e entrega parcial.</t>
        </is>
      </c>
      <c r="D877" s="2" t="inlineStr">
        <is>
          <t>Pesquisa UX, Compras e Marketing</t>
        </is>
      </c>
      <c r="E877" s="4" t="inlineStr">
        <is>
          <t>Pendente</t>
        </is>
      </c>
      <c r="F877" s="4" t="inlineStr"/>
      <c r="G877" s="2">
        <f>IF(AND(E877="Concluída",LEN(TRIM(F877))&gt;0),1,0)</f>
        <v/>
      </c>
      <c r="H877" s="4" t="inlineStr"/>
    </row>
    <row r="878" ht="54" customHeight="1">
      <c r="A878" s="2" t="inlineStr">
        <is>
          <t>E088</t>
        </is>
      </c>
      <c r="B878" s="2" t="inlineStr">
        <is>
          <t>E088.07</t>
        </is>
      </c>
      <c r="C878" s="2" t="inlineStr">
        <is>
          <t>Comparar problemas por severidade sem generalizar percentuais da amostra pequena.</t>
        </is>
      </c>
      <c r="D878" s="2" t="inlineStr">
        <is>
          <t>Pesquisa UX, Compras e Marketing</t>
        </is>
      </c>
      <c r="E878" s="4" t="inlineStr">
        <is>
          <t>Pendente</t>
        </is>
      </c>
      <c r="F878" s="4" t="inlineStr"/>
      <c r="G878" s="2">
        <f>IF(AND(E878="Concluída",LEN(TRIM(F878))&gt;0),1,0)</f>
        <v/>
      </c>
      <c r="H878" s="4" t="inlineStr"/>
    </row>
    <row r="879" ht="54" customHeight="1">
      <c r="A879" s="2" t="inlineStr">
        <is>
          <t>E088</t>
        </is>
      </c>
      <c r="B879" s="2" t="inlineStr">
        <is>
          <t>E088.08</t>
        </is>
      </c>
      <c r="C879" s="2" t="inlineStr">
        <is>
          <t>Priorizar correções que diminuem risco de compra errada ou retrabalho.</t>
        </is>
      </c>
      <c r="D879" s="2" t="inlineStr">
        <is>
          <t>Pesquisa UX, Compras e Marketing</t>
        </is>
      </c>
      <c r="E879" s="4" t="inlineStr">
        <is>
          <t>Pendente</t>
        </is>
      </c>
      <c r="F879" s="4" t="inlineStr"/>
      <c r="G879" s="2">
        <f>IF(AND(E879="Concluída",LEN(TRIM(F879))&gt;0),1,0)</f>
        <v/>
      </c>
      <c r="H879" s="4" t="inlineStr"/>
    </row>
    <row r="880" ht="54" customHeight="1">
      <c r="A880" s="2" t="inlineStr">
        <is>
          <t>E088</t>
        </is>
      </c>
      <c r="B880" s="2" t="inlineStr">
        <is>
          <t>E088.09</t>
        </is>
      </c>
      <c r="C880" s="2" t="inlineStr">
        <is>
          <t>Testar novamente os fluxos modificados com evidência de resultado.</t>
        </is>
      </c>
      <c r="D880" s="2" t="inlineStr">
        <is>
          <t>Pesquisa UX, Compras e Marketing</t>
        </is>
      </c>
      <c r="E880" s="4" t="inlineStr">
        <is>
          <t>Pendente</t>
        </is>
      </c>
      <c r="F880" s="4" t="inlineStr"/>
      <c r="G880" s="2">
        <f>IF(AND(E880="Concluída",LEN(TRIM(F880))&gt;0),1,0)</f>
        <v/>
      </c>
      <c r="H880" s="4" t="inlineStr"/>
    </row>
    <row r="881" ht="54" customHeight="1">
      <c r="A881" s="2" t="inlineStr">
        <is>
          <t>E088</t>
        </is>
      </c>
      <c r="B881" s="2" t="inlineStr">
        <is>
          <t>E088.10</t>
        </is>
      </c>
      <c r="C881" s="2" t="inlineStr">
        <is>
          <t>Publicar aprendizados e decisões de design rastreáveis às observações.</t>
        </is>
      </c>
      <c r="D881" s="2" t="inlineStr">
        <is>
          <t>Pesquisa UX, Compras e Marketing</t>
        </is>
      </c>
      <c r="E881" s="4" t="inlineStr">
        <is>
          <t>Pendente</t>
        </is>
      </c>
      <c r="F881" s="4" t="inlineStr"/>
      <c r="G881" s="2">
        <f>IF(AND(E881="Concluída",LEN(TRIM(F881))&gt;0),1,0)</f>
        <v/>
      </c>
      <c r="H881" s="4" t="inlineStr"/>
    </row>
    <row r="882" ht="54" customHeight="1">
      <c r="A882" s="2" t="inlineStr">
        <is>
          <t>E089</t>
        </is>
      </c>
      <c r="B882" s="2" t="inlineStr">
        <is>
          <t>E089.01</t>
        </is>
      </c>
      <c r="C882" s="2" t="inlineStr">
        <is>
          <t>Implementar eventos e agregações previstos no dicionário de indicadores.</t>
        </is>
      </c>
      <c r="D882" s="2" t="inlineStr">
        <is>
          <t>Dados, Produto e UX</t>
        </is>
      </c>
      <c r="E882" s="4" t="inlineStr">
        <is>
          <t>Pendente</t>
        </is>
      </c>
      <c r="F882" s="4" t="inlineStr"/>
      <c r="G882" s="2">
        <f>IF(AND(E882="Concluída",LEN(TRIM(F882))&gt;0),1,0)</f>
        <v/>
      </c>
      <c r="H882" s="4" t="inlineStr"/>
    </row>
    <row r="883" ht="54" customHeight="1">
      <c r="A883" s="2" t="inlineStr">
        <is>
          <t>E089</t>
        </is>
      </c>
      <c r="B883" s="2" t="inlineStr">
        <is>
          <t>E089.02</t>
        </is>
      </c>
      <c r="C883" s="2" t="inlineStr">
        <is>
          <t>Restringir métricas ao escopo de cada cooperativa e papel.</t>
        </is>
      </c>
      <c r="D883" s="2" t="inlineStr">
        <is>
          <t>Dados, Produto e UX</t>
        </is>
      </c>
      <c r="E883" s="4" t="inlineStr">
        <is>
          <t>Pendente</t>
        </is>
      </c>
      <c r="F883" s="4" t="inlineStr"/>
      <c r="G883" s="2">
        <f>IF(AND(E883="Concluída",LEN(TRIM(F883))&gt;0),1,0)</f>
        <v/>
      </c>
      <c r="H883" s="4" t="inlineStr"/>
    </row>
    <row r="884" ht="54" customHeight="1">
      <c r="A884" s="2" t="inlineStr">
        <is>
          <t>E089</t>
        </is>
      </c>
      <c r="B884" s="2" t="inlineStr">
        <is>
          <t>E089.03</t>
        </is>
      </c>
      <c r="C884" s="2" t="inlineStr">
        <is>
          <t>Mostrar período, atualização e tamanho da amostra relevante.</t>
        </is>
      </c>
      <c r="D884" s="2" t="inlineStr">
        <is>
          <t>Dados, Produto e UX</t>
        </is>
      </c>
      <c r="E884" s="4" t="inlineStr">
        <is>
          <t>Pendente</t>
        </is>
      </c>
      <c r="F884" s="4" t="inlineStr"/>
      <c r="G884" s="2">
        <f>IF(AND(E884="Concluída",LEN(TRIM(F884))&gt;0),1,0)</f>
        <v/>
      </c>
      <c r="H884" s="4" t="inlineStr"/>
    </row>
    <row r="885" ht="54" customHeight="1">
      <c r="A885" s="2" t="inlineStr">
        <is>
          <t>E089</t>
        </is>
      </c>
      <c r="B885" s="2" t="inlineStr">
        <is>
          <t>E089.04</t>
        </is>
      </c>
      <c r="C885" s="2" t="inlineStr">
        <is>
          <t>Separar tempo em espera de tempo efetivo de processamento.</t>
        </is>
      </c>
      <c r="D885" s="2" t="inlineStr">
        <is>
          <t>Dados, Produto e UX</t>
        </is>
      </c>
      <c r="E885" s="4" t="inlineStr">
        <is>
          <t>Pendente</t>
        </is>
      </c>
      <c r="F885" s="4" t="inlineStr"/>
      <c r="G885" s="2">
        <f>IF(AND(E885="Concluída",LEN(TRIM(F885))&gt;0),1,0)</f>
        <v/>
      </c>
      <c r="H885" s="4" t="inlineStr"/>
    </row>
    <row r="886" ht="54" customHeight="1">
      <c r="A886" s="2" t="inlineStr">
        <is>
          <t>E089</t>
        </is>
      </c>
      <c r="B886" s="2" t="inlineStr">
        <is>
          <t>E089.05</t>
        </is>
      </c>
      <c r="C886" s="2" t="inlineStr">
        <is>
          <t>Medir devoluções de arte e despesa por motivos registrados.</t>
        </is>
      </c>
      <c r="D886" s="2" t="inlineStr">
        <is>
          <t>Dados, Produto e UX</t>
        </is>
      </c>
      <c r="E886" s="4" t="inlineStr">
        <is>
          <t>Pendente</t>
        </is>
      </c>
      <c r="F886" s="4" t="inlineStr"/>
      <c r="G886" s="2">
        <f>IF(AND(E886="Concluída",LEN(TRIM(F886))&gt;0),1,0)</f>
        <v/>
      </c>
      <c r="H886" s="4" t="inlineStr"/>
    </row>
    <row r="887" ht="54" customHeight="1">
      <c r="A887" s="2" t="inlineStr">
        <is>
          <t>E089</t>
        </is>
      </c>
      <c r="B887" s="2" t="inlineStr">
        <is>
          <t>E089.06</t>
        </is>
      </c>
      <c r="C887" s="2" t="inlineStr">
        <is>
          <t>Comparar entrega contratada e recebida por destino.</t>
        </is>
      </c>
      <c r="D887" s="2" t="inlineStr">
        <is>
          <t>Dados, Produto e UX</t>
        </is>
      </c>
      <c r="E887" s="4" t="inlineStr">
        <is>
          <t>Pendente</t>
        </is>
      </c>
      <c r="F887" s="4" t="inlineStr"/>
      <c r="G887" s="2">
        <f>IF(AND(E887="Concluída",LEN(TRIM(F887))&gt;0),1,0)</f>
        <v/>
      </c>
      <c r="H887" s="4" t="inlineStr"/>
    </row>
    <row r="888" ht="54" customHeight="1">
      <c r="A888" s="2" t="inlineStr">
        <is>
          <t>E089</t>
        </is>
      </c>
      <c r="B888" s="2" t="inlineStr">
        <is>
          <t>E089.07</t>
        </is>
      </c>
      <c r="C888" s="2" t="inlineStr">
        <is>
          <t>Identificar pendências sem atribuir causalidade não demonstrada.</t>
        </is>
      </c>
      <c r="D888" s="2" t="inlineStr">
        <is>
          <t>Dados, Produto e UX</t>
        </is>
      </c>
      <c r="E888" s="4" t="inlineStr">
        <is>
          <t>Pendente</t>
        </is>
      </c>
      <c r="F888" s="4" t="inlineStr"/>
      <c r="G888" s="2">
        <f>IF(AND(E888="Concluída",LEN(TRIM(F888))&gt;0),1,0)</f>
        <v/>
      </c>
      <c r="H888" s="4" t="inlineStr"/>
    </row>
    <row r="889" ht="54" customHeight="1">
      <c r="A889" s="2" t="inlineStr">
        <is>
          <t>E089</t>
        </is>
      </c>
      <c r="B889" s="2" t="inlineStr">
        <is>
          <t>E089.08</t>
        </is>
      </c>
      <c r="C889" s="2" t="inlineStr">
        <is>
          <t>Remover probabilidades fixas e percentuais de fallback do painel.</t>
        </is>
      </c>
      <c r="D889" s="2" t="inlineStr">
        <is>
          <t>Dados, Produto e UX</t>
        </is>
      </c>
      <c r="E889" s="4" t="inlineStr">
        <is>
          <t>Pendente</t>
        </is>
      </c>
      <c r="F889" s="4" t="inlineStr"/>
      <c r="G889" s="2">
        <f>IF(AND(E889="Concluída",LEN(TRIM(F889))&gt;0),1,0)</f>
        <v/>
      </c>
      <c r="H889" s="4" t="inlineStr"/>
    </row>
    <row r="890" ht="54" customHeight="1">
      <c r="A890" s="2" t="inlineStr">
        <is>
          <t>E089</t>
        </is>
      </c>
      <c r="B890" s="2" t="inlineStr">
        <is>
          <t>E089.09</t>
        </is>
      </c>
      <c r="C890" s="2" t="inlineStr">
        <is>
          <t>Conciliar indicadores com uma seleção rastreável de pedidos.</t>
        </is>
      </c>
      <c r="D890" s="2" t="inlineStr">
        <is>
          <t>Dados, Produto e UX</t>
        </is>
      </c>
      <c r="E890" s="4" t="inlineStr">
        <is>
          <t>Pendente</t>
        </is>
      </c>
      <c r="F890" s="4" t="inlineStr"/>
      <c r="G890" s="2">
        <f>IF(AND(E890="Concluída",LEN(TRIM(F890))&gt;0),1,0)</f>
        <v/>
      </c>
      <c r="H890" s="4" t="inlineStr"/>
    </row>
    <row r="891" ht="54" customHeight="1">
      <c r="A891" s="2" t="inlineStr">
        <is>
          <t>E089</t>
        </is>
      </c>
      <c r="B891" s="2" t="inlineStr">
        <is>
          <t>E089.10</t>
        </is>
      </c>
      <c r="C891" s="2" t="inlineStr">
        <is>
          <t>Validar interpretação do painel com compras, marketing e operação.</t>
        </is>
      </c>
      <c r="D891" s="2" t="inlineStr">
        <is>
          <t>Dados, Produto e UX</t>
        </is>
      </c>
      <c r="E891" s="4" t="inlineStr">
        <is>
          <t>Pendente</t>
        </is>
      </c>
      <c r="F891" s="4" t="inlineStr"/>
      <c r="G891" s="2">
        <f>IF(AND(E891="Concluída",LEN(TRIM(F891))&gt;0),1,0)</f>
        <v/>
      </c>
      <c r="H891" s="4" t="inlineStr"/>
    </row>
    <row r="892" ht="54" customHeight="1">
      <c r="A892" s="2" t="inlineStr">
        <is>
          <t>E090</t>
        </is>
      </c>
      <c r="B892" s="2" t="inlineStr">
        <is>
          <t>E090.01</t>
        </is>
      </c>
      <c r="C892" s="2" t="inlineStr">
        <is>
          <t>Consolidar cenários de negócio, permissão, falha e concorrência do piloto.</t>
        </is>
      </c>
      <c r="D892" s="2" t="inlineStr">
        <is>
          <t>QA, Conteúdo, UX e Engenharia</t>
        </is>
      </c>
      <c r="E892" s="4" t="inlineStr">
        <is>
          <t>Pendente</t>
        </is>
      </c>
      <c r="F892" s="4" t="inlineStr"/>
      <c r="G892" s="2">
        <f>IF(AND(E892="Concluída",LEN(TRIM(F892))&gt;0),1,0)</f>
        <v/>
      </c>
      <c r="H892" s="4" t="inlineStr"/>
    </row>
    <row r="893" ht="54" customHeight="1">
      <c r="A893" s="2" t="inlineStr">
        <is>
          <t>E090</t>
        </is>
      </c>
      <c r="B893" s="2" t="inlineStr">
        <is>
          <t>E090.02</t>
        </is>
      </c>
      <c r="C893" s="2" t="inlineStr">
        <is>
          <t>Verificar formatos pt-BR de data, moeda, quantidade e documentos.</t>
        </is>
      </c>
      <c r="D893" s="2" t="inlineStr">
        <is>
          <t>QA, Conteúdo, UX e Engenharia</t>
        </is>
      </c>
      <c r="E893" s="4" t="inlineStr">
        <is>
          <t>Pendente</t>
        </is>
      </c>
      <c r="F893" s="4" t="inlineStr"/>
      <c r="G893" s="2">
        <f>IF(AND(E893="Concluída",LEN(TRIM(F893))&gt;0),1,0)</f>
        <v/>
      </c>
      <c r="H893" s="4" t="inlineStr"/>
    </row>
    <row r="894" ht="54" customHeight="1">
      <c r="A894" s="2" t="inlineStr">
        <is>
          <t>E090</t>
        </is>
      </c>
      <c r="B894" s="2" t="inlineStr">
        <is>
          <t>E090.03</t>
        </is>
      </c>
      <c r="C894" s="2" t="inlineStr">
        <is>
          <t>Conferir consistência entre textos, estados da API e transações reais.</t>
        </is>
      </c>
      <c r="D894" s="2" t="inlineStr">
        <is>
          <t>QA, Conteúdo, UX e Engenharia</t>
        </is>
      </c>
      <c r="E894" s="4" t="inlineStr">
        <is>
          <t>Pendente</t>
        </is>
      </c>
      <c r="F894" s="4" t="inlineStr"/>
      <c r="G894" s="2">
        <f>IF(AND(E894="Concluída",LEN(TRIM(F894))&gt;0),1,0)</f>
        <v/>
      </c>
      <c r="H894" s="4" t="inlineStr"/>
    </row>
    <row r="895" ht="54" customHeight="1">
      <c r="A895" s="2" t="inlineStr">
        <is>
          <t>E090</t>
        </is>
      </c>
      <c r="B895" s="2" t="inlineStr">
        <is>
          <t>E090.04</t>
        </is>
      </c>
      <c r="C895" s="2" t="inlineStr">
        <is>
          <t>Validar exportações de proposta e relatórios com versões corretas.</t>
        </is>
      </c>
      <c r="D895" s="2" t="inlineStr">
        <is>
          <t>QA, Conteúdo, UX e Engenharia</t>
        </is>
      </c>
      <c r="E895" s="4" t="inlineStr">
        <is>
          <t>Pendente</t>
        </is>
      </c>
      <c r="F895" s="4" t="inlineStr"/>
      <c r="G895" s="2">
        <f>IF(AND(E895="Concluída",LEN(TRIM(F895))&gt;0),1,0)</f>
        <v/>
      </c>
      <c r="H895" s="4" t="inlineStr"/>
    </row>
    <row r="896" ht="54" customHeight="1">
      <c r="A896" s="2" t="inlineStr">
        <is>
          <t>E090</t>
        </is>
      </c>
      <c r="B896" s="2" t="inlineStr">
        <is>
          <t>E090.05</t>
        </is>
      </c>
      <c r="C896" s="2" t="inlineStr">
        <is>
          <t>Executar a suíte pertinente sem considerar testes pulados como aprovados.</t>
        </is>
      </c>
      <c r="D896" s="2" t="inlineStr">
        <is>
          <t>QA, Conteúdo, UX e Engenharia</t>
        </is>
      </c>
      <c r="E896" s="4" t="inlineStr">
        <is>
          <t>Pendente</t>
        </is>
      </c>
      <c r="F896" s="4" t="inlineStr"/>
      <c r="G896" s="2">
        <f>IF(AND(E896="Concluída",LEN(TRIM(F896))&gt;0),1,0)</f>
        <v/>
      </c>
      <c r="H896" s="4" t="inlineStr"/>
    </row>
    <row r="897" ht="54" customHeight="1">
      <c r="A897" s="2" t="inlineStr">
        <is>
          <t>E090</t>
        </is>
      </c>
      <c r="B897" s="2" t="inlineStr">
        <is>
          <t>E090.06</t>
        </is>
      </c>
      <c r="C897" s="2" t="inlineStr">
        <is>
          <t>Revisar acessibilidade dos fluxos alterados após as últimas correções.</t>
        </is>
      </c>
      <c r="D897" s="2" t="inlineStr">
        <is>
          <t>QA, Conteúdo, UX e Engenharia</t>
        </is>
      </c>
      <c r="E897" s="4" t="inlineStr">
        <is>
          <t>Pendente</t>
        </is>
      </c>
      <c r="F897" s="4" t="inlineStr"/>
      <c r="G897" s="2">
        <f>IF(AND(E897="Concluída",LEN(TRIM(F897))&gt;0),1,0)</f>
        <v/>
      </c>
      <c r="H897" s="4" t="inlineStr"/>
    </row>
    <row r="898" ht="54" customHeight="1">
      <c r="A898" s="2" t="inlineStr">
        <is>
          <t>E090</t>
        </is>
      </c>
      <c r="B898" s="2" t="inlineStr">
        <is>
          <t>E090.07</t>
        </is>
      </c>
      <c r="C898" s="2" t="inlineStr">
        <is>
          <t>Conferir desempenho e preservação do trabalho no build candidato.</t>
        </is>
      </c>
      <c r="D898" s="2" t="inlineStr">
        <is>
          <t>QA, Conteúdo, UX e Engenharia</t>
        </is>
      </c>
      <c r="E898" s="4" t="inlineStr">
        <is>
          <t>Pendente</t>
        </is>
      </c>
      <c r="F898" s="4" t="inlineStr"/>
      <c r="G898" s="2">
        <f>IF(AND(E898="Concluída",LEN(TRIM(F898))&gt;0),1,0)</f>
        <v/>
      </c>
      <c r="H898" s="4" t="inlineStr"/>
    </row>
    <row r="899" ht="54" customHeight="1">
      <c r="A899" s="2" t="inlineStr">
        <is>
          <t>E090</t>
        </is>
      </c>
      <c r="B899" s="2" t="inlineStr">
        <is>
          <t>E090.08</t>
        </is>
      </c>
      <c r="C899" s="2" t="inlineStr">
        <is>
          <t>Registrar defeitos por severidade, responsável e condição de liberação.</t>
        </is>
      </c>
      <c r="D899" s="2" t="inlineStr">
        <is>
          <t>QA, Conteúdo, UX e Engenharia</t>
        </is>
      </c>
      <c r="E899" s="4" t="inlineStr">
        <is>
          <t>Pendente</t>
        </is>
      </c>
      <c r="F899" s="4" t="inlineStr"/>
      <c r="G899" s="2">
        <f>IF(AND(E899="Concluída",LEN(TRIM(F899))&gt;0),1,0)</f>
        <v/>
      </c>
      <c r="H899" s="4" t="inlineStr"/>
    </row>
    <row r="900" ht="54" customHeight="1">
      <c r="A900" s="2" t="inlineStr">
        <is>
          <t>E090</t>
        </is>
      </c>
      <c r="B900" s="2" t="inlineStr">
        <is>
          <t>E090.09</t>
        </is>
      </c>
      <c r="C900" s="2" t="inlineStr">
        <is>
          <t>Corrigir e revalidar os defeitos que bloqueiam a compra segura.</t>
        </is>
      </c>
      <c r="D900" s="2" t="inlineStr">
        <is>
          <t>QA, Conteúdo, UX e Engenharia</t>
        </is>
      </c>
      <c r="E900" s="4" t="inlineStr">
        <is>
          <t>Pendente</t>
        </is>
      </c>
      <c r="F900" s="4" t="inlineStr"/>
      <c r="G900" s="2">
        <f>IF(AND(E900="Concluída",LEN(TRIM(F900))&gt;0),1,0)</f>
        <v/>
      </c>
      <c r="H900" s="4" t="inlineStr"/>
    </row>
    <row r="901" ht="54" customHeight="1">
      <c r="A901" s="2" t="inlineStr">
        <is>
          <t>E090</t>
        </is>
      </c>
      <c r="B901" s="2" t="inlineStr">
        <is>
          <t>E090.10</t>
        </is>
      </c>
      <c r="C901" s="2" t="inlineStr">
        <is>
          <t>Emitir relatório de homologação com ambiente, commit e evidências verificáveis.</t>
        </is>
      </c>
      <c r="D901" s="2" t="inlineStr">
        <is>
          <t>QA, Conteúdo, UX e Engenharia</t>
        </is>
      </c>
      <c r="E901" s="4" t="inlineStr">
        <is>
          <t>Pendente</t>
        </is>
      </c>
      <c r="F901" s="4" t="inlineStr"/>
      <c r="G901" s="2">
        <f>IF(AND(E901="Concluída",LEN(TRIM(F901))&gt;0),1,0)</f>
        <v/>
      </c>
      <c r="H901" s="4" t="inlineStr"/>
    </row>
    <row r="902" ht="54" customHeight="1">
      <c r="A902" s="2" t="inlineStr">
        <is>
          <t>E091</t>
        </is>
      </c>
      <c r="B902" s="2" t="inlineStr">
        <is>
          <t>E091.01</t>
        </is>
      </c>
      <c r="C902" s="2" t="inlineStr">
        <is>
          <t>Preparar campanha de teste com produtos reais consultados e dados segregados.</t>
        </is>
      </c>
      <c r="D902" s="2" t="inlineStr">
        <is>
          <t>Produto, Compras, Marketing e Operação</t>
        </is>
      </c>
      <c r="E902" s="4" t="inlineStr">
        <is>
          <t>Pendente</t>
        </is>
      </c>
      <c r="F902" s="4" t="inlineStr"/>
      <c r="G902" s="2">
        <f>IF(AND(E902="Concluída",LEN(TRIM(F902))&gt;0),1,0)</f>
        <v/>
      </c>
      <c r="H902" s="4" t="inlineStr"/>
    </row>
    <row r="903" ht="54" customHeight="1">
      <c r="A903" s="2" t="inlineStr">
        <is>
          <t>E091</t>
        </is>
      </c>
      <c r="B903" s="2" t="inlineStr">
        <is>
          <t>E091.02</t>
        </is>
      </c>
      <c r="C903" s="2" t="inlineStr">
        <is>
          <t>Montar proposta com personalização e distribuição por três destinos.</t>
        </is>
      </c>
      <c r="D903" s="2" t="inlineStr">
        <is>
          <t>Produto, Compras, Marketing e Operação</t>
        </is>
      </c>
      <c r="E903" s="4" t="inlineStr">
        <is>
          <t>Pendente</t>
        </is>
      </c>
      <c r="F903" s="4" t="inlineStr"/>
      <c r="G903" s="2">
        <f>IF(AND(E903="Concluída",LEN(TRIM(F903))&gt;0),1,0)</f>
        <v/>
      </c>
      <c r="H903" s="4" t="inlineStr"/>
    </row>
    <row r="904" ht="54" customHeight="1">
      <c r="A904" s="2" t="inlineStr">
        <is>
          <t>E091</t>
        </is>
      </c>
      <c r="B904" s="2" t="inlineStr">
        <is>
          <t>E091.03</t>
        </is>
      </c>
      <c r="C904" s="2" t="inlineStr">
        <is>
          <t>Executar comparação comercial conforme a política escolhida.</t>
        </is>
      </c>
      <c r="D904" s="2" t="inlineStr">
        <is>
          <t>Produto, Compras, Marketing e Operação</t>
        </is>
      </c>
      <c r="E904" s="4" t="inlineStr">
        <is>
          <t>Pendente</t>
        </is>
      </c>
      <c r="F904" s="4" t="inlineStr"/>
      <c r="G904" s="2">
        <f>IF(AND(E904="Concluída",LEN(TRIM(F904))&gt;0),1,0)</f>
        <v/>
      </c>
      <c r="H904" s="4" t="inlineStr"/>
    </row>
    <row r="905" ht="54" customHeight="1">
      <c r="A905" s="2" t="inlineStr">
        <is>
          <t>E091</t>
        </is>
      </c>
      <c r="B905" s="2" t="inlineStr">
        <is>
          <t>E091.04</t>
        </is>
      </c>
      <c r="C905" s="2" t="inlineStr">
        <is>
          <t>Solicitar revisão de arte e aprovar a versão corrigida.</t>
        </is>
      </c>
      <c r="D905" s="2" t="inlineStr">
        <is>
          <t>Produto, Compras, Marketing e Operação</t>
        </is>
      </c>
      <c r="E905" s="4" t="inlineStr">
        <is>
          <t>Pendente</t>
        </is>
      </c>
      <c r="F905" s="4" t="inlineStr"/>
      <c r="G905" s="2">
        <f>IF(AND(E905="Concluída",LEN(TRIM(F905))&gt;0),1,0)</f>
        <v/>
      </c>
      <c r="H905" s="4" t="inlineStr"/>
    </row>
    <row r="906" ht="54" customHeight="1">
      <c r="A906" s="2" t="inlineStr">
        <is>
          <t>E091</t>
        </is>
      </c>
      <c r="B906" s="2" t="inlineStr">
        <is>
          <t>E091.05</t>
        </is>
      </c>
      <c r="C906" s="2" t="inlineStr">
        <is>
          <t>Autorizar despesa dentro da alçada e conferir compromisso de verba.</t>
        </is>
      </c>
      <c r="D906" s="2" t="inlineStr">
        <is>
          <t>Produto, Compras, Marketing e Operação</t>
        </is>
      </c>
      <c r="E906" s="4" t="inlineStr">
        <is>
          <t>Pendente</t>
        </is>
      </c>
      <c r="F906" s="4" t="inlineStr"/>
      <c r="G906" s="2">
        <f>IF(AND(E906="Concluída",LEN(TRIM(F906))&gt;0),1,0)</f>
        <v/>
      </c>
      <c r="H906" s="4" t="inlineStr"/>
    </row>
    <row r="907" ht="54" customHeight="1">
      <c r="A907" s="2" t="inlineStr">
        <is>
          <t>E091</t>
        </is>
      </c>
      <c r="B907" s="2" t="inlineStr">
        <is>
          <t>E091.06</t>
        </is>
      </c>
      <c r="C907" s="2" t="inlineStr">
        <is>
          <t>Reconfirmar oferta e formalizar a passagem para o fornecedor de teste.</t>
        </is>
      </c>
      <c r="D907" s="2" t="inlineStr">
        <is>
          <t>Produto, Compras, Marketing e Operação</t>
        </is>
      </c>
      <c r="E907" s="4" t="inlineStr">
        <is>
          <t>Pendente</t>
        </is>
      </c>
      <c r="F907" s="4" t="inlineStr"/>
      <c r="G907" s="2">
        <f>IF(AND(E907="Concluída",LEN(TRIM(F907))&gt;0),1,0)</f>
        <v/>
      </c>
      <c r="H907" s="4" t="inlineStr"/>
    </row>
    <row r="908" ht="54" customHeight="1">
      <c r="A908" s="2" t="inlineStr">
        <is>
          <t>E091</t>
        </is>
      </c>
      <c r="B908" s="2" t="inlineStr">
        <is>
          <t>E091.07</t>
        </is>
      </c>
      <c r="C908" s="2" t="inlineStr">
        <is>
          <t>Simular produção, expedição e recebimento parcial com responsáveis definidos.</t>
        </is>
      </c>
      <c r="D908" s="2" t="inlineStr">
        <is>
          <t>Produto, Compras, Marketing e Operação</t>
        </is>
      </c>
      <c r="E908" s="4" t="inlineStr">
        <is>
          <t>Pendente</t>
        </is>
      </c>
      <c r="F908" s="4" t="inlineStr"/>
      <c r="G908" s="2">
        <f>IF(AND(E908="Concluída",LEN(TRIM(F908))&gt;0),1,0)</f>
        <v/>
      </c>
      <c r="H908" s="4" t="inlineStr"/>
    </row>
    <row r="909" ht="54" customHeight="1">
      <c r="A909" s="2" t="inlineStr">
        <is>
          <t>E091</t>
        </is>
      </c>
      <c r="B909" s="2" t="inlineStr">
        <is>
          <t>E091.08</t>
        </is>
      </c>
      <c r="C909" s="2" t="inlineStr">
        <is>
          <t>Resolver uma divergência e conciliar os documentos correspondentes.</t>
        </is>
      </c>
      <c r="D909" s="2" t="inlineStr">
        <is>
          <t>Produto, Compras, Marketing e Operação</t>
        </is>
      </c>
      <c r="E909" s="4" t="inlineStr">
        <is>
          <t>Pendente</t>
        </is>
      </c>
      <c r="F909" s="4" t="inlineStr"/>
      <c r="G909" s="2">
        <f>IF(AND(E909="Concluída",LEN(TRIM(F909))&gt;0),1,0)</f>
        <v/>
      </c>
      <c r="H909" s="4" t="inlineStr"/>
    </row>
    <row r="910" ht="54" customHeight="1">
      <c r="A910" s="2" t="inlineStr">
        <is>
          <t>E091</t>
        </is>
      </c>
      <c r="B910" s="2" t="inlineStr">
        <is>
          <t>E091.09</t>
        </is>
      </c>
      <c r="C910" s="2" t="inlineStr">
        <is>
          <t>Reconstruir a jornada pelo histórico sem depender de explicação do desenvolvedor.</t>
        </is>
      </c>
      <c r="D910" s="2" t="inlineStr">
        <is>
          <t>Produto, Compras, Marketing e Operação</t>
        </is>
      </c>
      <c r="E910" s="4" t="inlineStr">
        <is>
          <t>Pendente</t>
        </is>
      </c>
      <c r="F910" s="4" t="inlineStr"/>
      <c r="G910" s="2">
        <f>IF(AND(E910="Concluída",LEN(TRIM(F910))&gt;0),1,0)</f>
        <v/>
      </c>
      <c r="H910" s="4" t="inlineStr"/>
    </row>
    <row r="911" ht="54" customHeight="1">
      <c r="A911" s="2" t="inlineStr">
        <is>
          <t>E091</t>
        </is>
      </c>
      <c r="B911" s="2" t="inlineStr">
        <is>
          <t>E091.10</t>
        </is>
      </c>
      <c r="C911" s="2" t="inlineStr">
        <is>
          <t>Obter aceite funcional dos representantes das áreas envolvidas no ensaio.</t>
        </is>
      </c>
      <c r="D911" s="2" t="inlineStr">
        <is>
          <t>Produto, Compras, Marketing e Operação</t>
        </is>
      </c>
      <c r="E911" s="4" t="inlineStr">
        <is>
          <t>Pendente</t>
        </is>
      </c>
      <c r="F911" s="4" t="inlineStr"/>
      <c r="G911" s="2">
        <f>IF(AND(E911="Concluída",LEN(TRIM(F911))&gt;0),1,0)</f>
        <v/>
      </c>
      <c r="H911" s="4" t="inlineStr"/>
    </row>
    <row r="912" ht="54" customHeight="1">
      <c r="A912" s="2" t="inlineStr">
        <is>
          <t>E092</t>
        </is>
      </c>
      <c r="B912" s="2" t="inlineStr">
        <is>
          <t>E092.01</t>
        </is>
      </c>
      <c r="C912" s="2" t="inlineStr">
        <is>
          <t>Comparar telas implementadas com os padrões visuais aprovados.</t>
        </is>
      </c>
      <c r="D912" s="2" t="inlineStr">
        <is>
          <t>Direção de design, Marca e Produto</t>
        </is>
      </c>
      <c r="E912" s="4" t="inlineStr">
        <is>
          <t>Pendente</t>
        </is>
      </c>
      <c r="F912" s="4" t="inlineStr"/>
      <c r="G912" s="2">
        <f>IF(AND(E912="Concluída",LEN(TRIM(F912))&gt;0),1,0)</f>
        <v/>
      </c>
      <c r="H912" s="4" t="inlineStr"/>
    </row>
    <row r="913" ht="54" customHeight="1">
      <c r="A913" s="2" t="inlineStr">
        <is>
          <t>E092</t>
        </is>
      </c>
      <c r="B913" s="2" t="inlineStr">
        <is>
          <t>E092.02</t>
        </is>
      </c>
      <c r="C913" s="2" t="inlineStr">
        <is>
          <t>Conferir logos, assinatura da cooperativa e identificação do fornecedor.</t>
        </is>
      </c>
      <c r="D913" s="2" t="inlineStr">
        <is>
          <t>Direção de design, Marca e Produto</t>
        </is>
      </c>
      <c r="E913" s="4" t="inlineStr">
        <is>
          <t>Pendente</t>
        </is>
      </c>
      <c r="F913" s="4" t="inlineStr"/>
      <c r="G913" s="2">
        <f>IF(AND(E913="Concluída",LEN(TRIM(F913))&gt;0),1,0)</f>
        <v/>
      </c>
      <c r="H913" s="4" t="inlineStr"/>
    </row>
    <row r="914" ht="54" customHeight="1">
      <c r="A914" s="2" t="inlineStr">
        <is>
          <t>E092</t>
        </is>
      </c>
      <c r="B914" s="2" t="inlineStr">
        <is>
          <t>E092.03</t>
        </is>
      </c>
      <c r="C914" s="2" t="inlineStr">
        <is>
          <t>Verificar consistência de títulos, ações, estados e documentos exportados.</t>
        </is>
      </c>
      <c r="D914" s="2" t="inlineStr">
        <is>
          <t>Direção de design, Marca e Produto</t>
        </is>
      </c>
      <c r="E914" s="4" t="inlineStr">
        <is>
          <t>Pendente</t>
        </is>
      </c>
      <c r="F914" s="4" t="inlineStr"/>
      <c r="G914" s="2">
        <f>IF(AND(E914="Concluída",LEN(TRIM(F914))&gt;0),1,0)</f>
        <v/>
      </c>
      <c r="H914" s="4" t="inlineStr"/>
    </row>
    <row r="915" ht="54" customHeight="1">
      <c r="A915" s="2" t="inlineStr">
        <is>
          <t>E092</t>
        </is>
      </c>
      <c r="B915" s="2" t="inlineStr">
        <is>
          <t>E092.04</t>
        </is>
      </c>
      <c r="C915" s="2" t="inlineStr">
        <is>
          <t>Revisar foco visual em preço, prazo, versão e próxima ação.</t>
        </is>
      </c>
      <c r="D915" s="2" t="inlineStr">
        <is>
          <t>Direção de design, Marca e Produto</t>
        </is>
      </c>
      <c r="E915" s="4" t="inlineStr">
        <is>
          <t>Pendente</t>
        </is>
      </c>
      <c r="F915" s="4" t="inlineStr"/>
      <c r="G915" s="2">
        <f>IF(AND(E915="Concluída",LEN(TRIM(F915))&gt;0),1,0)</f>
        <v/>
      </c>
      <c r="H915" s="4" t="inlineStr"/>
    </row>
    <row r="916" ht="54" customHeight="1">
      <c r="A916" s="2" t="inlineStr">
        <is>
          <t>E092</t>
        </is>
      </c>
      <c r="B916" s="2" t="inlineStr">
        <is>
          <t>E092.05</t>
        </is>
      </c>
      <c r="C916" s="2" t="inlineStr">
        <is>
          <t>Remover elementos decorativos ou legados que prejudiquem a tarefa.</t>
        </is>
      </c>
      <c r="D916" s="2" t="inlineStr">
        <is>
          <t>Direção de design, Marca e Produto</t>
        </is>
      </c>
      <c r="E916" s="4" t="inlineStr">
        <is>
          <t>Pendente</t>
        </is>
      </c>
      <c r="F916" s="4" t="inlineStr"/>
      <c r="G916" s="2">
        <f>IF(AND(E916="Concluída",LEN(TRIM(F916))&gt;0),1,0)</f>
        <v/>
      </c>
      <c r="H916" s="4" t="inlineStr"/>
    </row>
    <row r="917" ht="54" customHeight="1">
      <c r="A917" s="2" t="inlineStr">
        <is>
          <t>E092</t>
        </is>
      </c>
      <c r="B917" s="2" t="inlineStr">
        <is>
          <t>E092.06</t>
        </is>
      </c>
      <c r="C917" s="2" t="inlineStr">
        <is>
          <t>Conferir contraste e legibilidade após ajustes finais de marca.</t>
        </is>
      </c>
      <c r="D917" s="2" t="inlineStr">
        <is>
          <t>Direção de design, Marca e Produto</t>
        </is>
      </c>
      <c r="E917" s="4" t="inlineStr">
        <is>
          <t>Pendente</t>
        </is>
      </c>
      <c r="F917" s="4" t="inlineStr"/>
      <c r="G917" s="2">
        <f>IF(AND(E917="Concluída",LEN(TRIM(F917))&gt;0),1,0)</f>
        <v/>
      </c>
      <c r="H917" s="4" t="inlineStr"/>
    </row>
    <row r="918" ht="54" customHeight="1">
      <c r="A918" s="2" t="inlineStr">
        <is>
          <t>E092</t>
        </is>
      </c>
      <c r="B918" s="2" t="inlineStr">
        <is>
          <t>E092.07</t>
        </is>
      </c>
      <c r="C918" s="2" t="inlineStr">
        <is>
          <t>Revisar mensagens de suporte, erro e notificação em português brasileiro.</t>
        </is>
      </c>
      <c r="D918" s="2" t="inlineStr">
        <is>
          <t>Direção de design, Marca e Produto</t>
        </is>
      </c>
      <c r="E918" s="4" t="inlineStr">
        <is>
          <t>Pendente</t>
        </is>
      </c>
      <c r="F918" s="4" t="inlineStr"/>
      <c r="G918" s="2">
        <f>IF(AND(E918="Concluída",LEN(TRIM(F918))&gt;0),1,0)</f>
        <v/>
      </c>
      <c r="H918" s="4" t="inlineStr"/>
    </row>
    <row r="919" ht="54" customHeight="1">
      <c r="A919" s="2" t="inlineStr">
        <is>
          <t>E092</t>
        </is>
      </c>
      <c r="B919" s="2" t="inlineStr">
        <is>
          <t>E092.08</t>
        </is>
      </c>
      <c r="C919" s="2" t="inlineStr">
        <is>
          <t>Confirmar que limites comerciais e operacionais permanecem visíveis.</t>
        </is>
      </c>
      <c r="D919" s="2" t="inlineStr">
        <is>
          <t>Direção de design, Marca e Produto</t>
        </is>
      </c>
      <c r="E919" s="4" t="inlineStr">
        <is>
          <t>Pendente</t>
        </is>
      </c>
      <c r="F919" s="4" t="inlineStr"/>
      <c r="G919" s="2">
        <f>IF(AND(E919="Concluída",LEN(TRIM(F919))&gt;0),1,0)</f>
        <v/>
      </c>
      <c r="H919" s="4" t="inlineStr"/>
    </row>
    <row r="920" ht="54" customHeight="1">
      <c r="A920" s="2" t="inlineStr">
        <is>
          <t>E092</t>
        </is>
      </c>
      <c r="B920" s="2" t="inlineStr">
        <is>
          <t>E092.09</t>
        </is>
      </c>
      <c r="C920" s="2" t="inlineStr">
        <is>
          <t>Obter revisão do responsável autorizado pela marca no escopo aplicável.</t>
        </is>
      </c>
      <c r="D920" s="2" t="inlineStr">
        <is>
          <t>Direção de design, Marca e Produto</t>
        </is>
      </c>
      <c r="E920" s="4" t="inlineStr">
        <is>
          <t>Pendente</t>
        </is>
      </c>
      <c r="F920" s="4" t="inlineStr"/>
      <c r="G920" s="2">
        <f>IF(AND(E920="Concluída",LEN(TRIM(F920))&gt;0),1,0)</f>
        <v/>
      </c>
      <c r="H920" s="4" t="inlineStr"/>
    </row>
    <row r="921" ht="54" customHeight="1">
      <c r="A921" s="2" t="inlineStr">
        <is>
          <t>E092</t>
        </is>
      </c>
      <c r="B921" s="2" t="inlineStr">
        <is>
          <t>E092.10</t>
        </is>
      </c>
      <c r="C921" s="2" t="inlineStr">
        <is>
          <t>Registrar aceite da experiência e eventuais limitações que não bloqueiam o piloto.</t>
        </is>
      </c>
      <c r="D921" s="2" t="inlineStr">
        <is>
          <t>Direção de design, Marca e Produto</t>
        </is>
      </c>
      <c r="E921" s="4" t="inlineStr">
        <is>
          <t>Pendente</t>
        </is>
      </c>
      <c r="F921" s="4" t="inlineStr"/>
      <c r="G921" s="2">
        <f>IF(AND(E921="Concluída",LEN(TRIM(F921))&gt;0),1,0)</f>
        <v/>
      </c>
      <c r="H921" s="4" t="inlineStr"/>
    </row>
    <row r="922" ht="54" customHeight="1">
      <c r="A922" s="2" t="inlineStr">
        <is>
          <t>E093</t>
        </is>
      </c>
      <c r="B922" s="2" t="inlineStr">
        <is>
          <t>E093.01</t>
        </is>
      </c>
      <c r="C922" s="2" t="inlineStr">
        <is>
          <t>Confirmar cooperativa piloto, responsáveis e escopo de participação.</t>
        </is>
      </c>
      <c r="D922" s="2" t="inlineStr">
        <is>
          <t>Produto, Administração e Dados</t>
        </is>
      </c>
      <c r="E922" s="4" t="inlineStr">
        <is>
          <t>Pendente</t>
        </is>
      </c>
      <c r="F922" s="4" t="inlineStr"/>
      <c r="G922" s="2">
        <f>IF(AND(E922="Concluída",LEN(TRIM(F922))&gt;0),1,0)</f>
        <v/>
      </c>
      <c r="H922" s="4" t="inlineStr"/>
    </row>
    <row r="923" ht="54" customHeight="1">
      <c r="A923" s="2" t="inlineStr">
        <is>
          <t>E093</t>
        </is>
      </c>
      <c r="B923" s="2" t="inlineStr">
        <is>
          <t>E093.02</t>
        </is>
      </c>
      <c r="C923" s="2" t="inlineStr">
        <is>
          <t>Validar política vigente e alçadas que serão aplicadas ao piloto.</t>
        </is>
      </c>
      <c r="D923" s="2" t="inlineStr">
        <is>
          <t>Produto, Administração e Dados</t>
        </is>
      </c>
      <c r="E923" s="4" t="inlineStr">
        <is>
          <t>Pendente</t>
        </is>
      </c>
      <c r="F923" s="4" t="inlineStr"/>
      <c r="G923" s="2">
        <f>IF(AND(E923="Concluída",LEN(TRIM(F923))&gt;0),1,0)</f>
        <v/>
      </c>
      <c r="H923" s="4" t="inlineStr"/>
    </row>
    <row r="924" ht="54" customHeight="1">
      <c r="A924" s="2" t="inlineStr">
        <is>
          <t>E093</t>
        </is>
      </c>
      <c r="B924" s="2" t="inlineStr">
        <is>
          <t>E093.03</t>
        </is>
      </c>
      <c r="C924" s="2" t="inlineStr">
        <is>
          <t>Cadastrar ou reconciliar PAs, centros de custo e endereços autorizados.</t>
        </is>
      </c>
      <c r="D924" s="2" t="inlineStr">
        <is>
          <t>Produto, Administração e Dados</t>
        </is>
      </c>
      <c r="E924" s="4" t="inlineStr">
        <is>
          <t>Pendente</t>
        </is>
      </c>
      <c r="F924" s="4" t="inlineStr"/>
      <c r="G924" s="2">
        <f>IF(AND(E924="Concluída",LEN(TRIM(F924))&gt;0),1,0)</f>
        <v/>
      </c>
      <c r="H924" s="4" t="inlineStr"/>
    </row>
    <row r="925" ht="54" customHeight="1">
      <c r="A925" s="2" t="inlineStr">
        <is>
          <t>E093</t>
        </is>
      </c>
      <c r="B925" s="2" t="inlineStr">
        <is>
          <t>E093.04</t>
        </is>
      </c>
      <c r="C925" s="2" t="inlineStr">
        <is>
          <t>Conferir período e valores de verba com o responsável financeiro.</t>
        </is>
      </c>
      <c r="D925" s="2" t="inlineStr">
        <is>
          <t>Produto, Administração e Dados</t>
        </is>
      </c>
      <c r="E925" s="4" t="inlineStr">
        <is>
          <t>Pendente</t>
        </is>
      </c>
      <c r="F925" s="4" t="inlineStr"/>
      <c r="G925" s="2">
        <f>IF(AND(E925="Concluída",LEN(TRIM(F925))&gt;0),1,0)</f>
        <v/>
      </c>
      <c r="H925" s="4" t="inlineStr"/>
    </row>
    <row r="926" ht="54" customHeight="1">
      <c r="A926" s="2" t="inlineStr">
        <is>
          <t>E093</t>
        </is>
      </c>
      <c r="B926" s="2" t="inlineStr">
        <is>
          <t>E093.05</t>
        </is>
      </c>
      <c r="C926" s="2" t="inlineStr">
        <is>
          <t>Preparar usuários e convites com mínimo privilégio necessário.</t>
        </is>
      </c>
      <c r="D926" s="2" t="inlineStr">
        <is>
          <t>Produto, Administração e Dados</t>
        </is>
      </c>
      <c r="E926" s="4" t="inlineStr">
        <is>
          <t>Pendente</t>
        </is>
      </c>
      <c r="F926" s="4" t="inlineStr"/>
      <c r="G926" s="2">
        <f>IF(AND(E926="Concluída",LEN(TRIM(F926))&gt;0),1,0)</f>
        <v/>
      </c>
      <c r="H926" s="4" t="inlineStr"/>
    </row>
    <row r="927" ht="54" customHeight="1">
      <c r="A927" s="2" t="inlineStr">
        <is>
          <t>E093</t>
        </is>
      </c>
      <c r="B927" s="2" t="inlineStr">
        <is>
          <t>E093.06</t>
        </is>
      </c>
      <c r="C927" s="2" t="inlineStr">
        <is>
          <t>Definir fornecedores, categorias e destinos efetivamente atendidos.</t>
        </is>
      </c>
      <c r="D927" s="2" t="inlineStr">
        <is>
          <t>Produto, Administração e Dados</t>
        </is>
      </c>
      <c r="E927" s="4" t="inlineStr">
        <is>
          <t>Pendente</t>
        </is>
      </c>
      <c r="F927" s="4" t="inlineStr"/>
      <c r="G927" s="2">
        <f>IF(AND(E927="Concluída",LEN(TRIM(F927))&gt;0),1,0)</f>
        <v/>
      </c>
      <c r="H927" s="4" t="inlineStr"/>
    </row>
    <row r="928" ht="54" customHeight="1">
      <c r="A928" s="2" t="inlineStr">
        <is>
          <t>E093</t>
        </is>
      </c>
      <c r="B928" s="2" t="inlineStr">
        <is>
          <t>E093.07</t>
        </is>
      </c>
      <c r="C928" s="2" t="inlineStr">
        <is>
          <t>Validar ativos de marca e modelos de arte permitidos.</t>
        </is>
      </c>
      <c r="D928" s="2" t="inlineStr">
        <is>
          <t>Produto, Administração e Dados</t>
        </is>
      </c>
      <c r="E928" s="4" t="inlineStr">
        <is>
          <t>Pendente</t>
        </is>
      </c>
      <c r="F928" s="4" t="inlineStr"/>
      <c r="G928" s="2">
        <f>IF(AND(E928="Concluída",LEN(TRIM(F928))&gt;0),1,0)</f>
        <v/>
      </c>
      <c r="H928" s="4" t="inlineStr"/>
    </row>
    <row r="929" ht="54" customHeight="1">
      <c r="A929" s="2" t="inlineStr">
        <is>
          <t>E093</t>
        </is>
      </c>
      <c r="B929" s="2" t="inlineStr">
        <is>
          <t>E093.08</t>
        </is>
      </c>
      <c r="C929" s="2" t="inlineStr">
        <is>
          <t>Preparar plano reversível para qualquer migração de dados próprios necessária.</t>
        </is>
      </c>
      <c r="D929" s="2" t="inlineStr">
        <is>
          <t>Produto, Administração e Dados</t>
        </is>
      </c>
      <c r="E929" s="4" t="inlineStr">
        <is>
          <t>Pendente</t>
        </is>
      </c>
      <c r="F929" s="4" t="inlineStr"/>
      <c r="G929" s="2">
        <f>IF(AND(E929="Concluída",LEN(TRIM(F929))&gt;0),1,0)</f>
        <v/>
      </c>
      <c r="H929" s="4" t="inlineStr"/>
    </row>
    <row r="930" ht="54" customHeight="1">
      <c r="A930" s="2" t="inlineStr">
        <is>
          <t>E093</t>
        </is>
      </c>
      <c r="B930" s="2" t="inlineStr">
        <is>
          <t>E093.09</t>
        </is>
      </c>
      <c r="C930" s="2" t="inlineStr">
        <is>
          <t>Conferir amostra dos cadastros com os responsáveis de cada área.</t>
        </is>
      </c>
      <c r="D930" s="2" t="inlineStr">
        <is>
          <t>Produto, Administração e Dados</t>
        </is>
      </c>
      <c r="E930" s="4" t="inlineStr">
        <is>
          <t>Pendente</t>
        </is>
      </c>
      <c r="F930" s="4" t="inlineStr"/>
      <c r="G930" s="2">
        <f>IF(AND(E930="Concluída",LEN(TRIM(F930))&gt;0),1,0)</f>
        <v/>
      </c>
      <c r="H930" s="4" t="inlineStr"/>
    </row>
    <row r="931" ht="54" customHeight="1">
      <c r="A931" s="2" t="inlineStr">
        <is>
          <t>E093</t>
        </is>
      </c>
      <c r="B931" s="2" t="inlineStr">
        <is>
          <t>E093.10</t>
        </is>
      </c>
      <c r="C931" s="2" t="inlineStr">
        <is>
          <t>Registrar prontidão dos dados sem importar informações desnecessárias do catálogo mestre.</t>
        </is>
      </c>
      <c r="D931" s="2" t="inlineStr">
        <is>
          <t>Produto, Administração e Dados</t>
        </is>
      </c>
      <c r="E931" s="4" t="inlineStr">
        <is>
          <t>Pendente</t>
        </is>
      </c>
      <c r="F931" s="4" t="inlineStr"/>
      <c r="G931" s="2">
        <f>IF(AND(E931="Concluída",LEN(TRIM(F931))&gt;0),1,0)</f>
        <v/>
      </c>
      <c r="H931" s="4" t="inlineStr"/>
    </row>
    <row r="932" ht="54" customHeight="1">
      <c r="A932" s="2" t="inlineStr">
        <is>
          <t>E094</t>
        </is>
      </c>
      <c r="B932" s="2" t="inlineStr">
        <is>
          <t>E094.01</t>
        </is>
      </c>
      <c r="C932" s="2" t="inlineStr">
        <is>
          <t>Definir responsáveis de compras, marketing, produção, logística e suporte.</t>
        </is>
      </c>
      <c r="D932" s="2" t="inlineStr">
        <is>
          <t>Operação, Atendimento e UX</t>
        </is>
      </c>
      <c r="E932" s="4" t="inlineStr">
        <is>
          <t>Pendente</t>
        </is>
      </c>
      <c r="F932" s="4" t="inlineStr"/>
      <c r="G932" s="2">
        <f>IF(AND(E932="Concluída",LEN(TRIM(F932))&gt;0),1,0)</f>
        <v/>
      </c>
      <c r="H932" s="4" t="inlineStr"/>
    </row>
    <row r="933" ht="54" customHeight="1">
      <c r="A933" s="2" t="inlineStr">
        <is>
          <t>E094</t>
        </is>
      </c>
      <c r="B933" s="2" t="inlineStr">
        <is>
          <t>E094.02</t>
        </is>
      </c>
      <c r="C933" s="2" t="inlineStr">
        <is>
          <t>Preparar guias curtos por tarefa e papel funcional.</t>
        </is>
      </c>
      <c r="D933" s="2" t="inlineStr">
        <is>
          <t>Operação, Atendimento e UX</t>
        </is>
      </c>
      <c r="E933" s="4" t="inlineStr">
        <is>
          <t>Pendente</t>
        </is>
      </c>
      <c r="F933" s="4" t="inlineStr"/>
      <c r="G933" s="2">
        <f>IF(AND(E933="Concluída",LEN(TRIM(F933))&gt;0),1,0)</f>
        <v/>
      </c>
      <c r="H933" s="4" t="inlineStr"/>
    </row>
    <row r="934" ht="54" customHeight="1">
      <c r="A934" s="2" t="inlineStr">
        <is>
          <t>E094</t>
        </is>
      </c>
      <c r="B934" s="2" t="inlineStr">
        <is>
          <t>E094.03</t>
        </is>
      </c>
      <c r="C934" s="2" t="inlineStr">
        <is>
          <t>Demonstrar solicitação, revisão, aprovação e recebimento com dados de teste.</t>
        </is>
      </c>
      <c r="D934" s="2" t="inlineStr">
        <is>
          <t>Operação, Atendimento e UX</t>
        </is>
      </c>
      <c r="E934" s="4" t="inlineStr">
        <is>
          <t>Pendente</t>
        </is>
      </c>
      <c r="F934" s="4" t="inlineStr"/>
      <c r="G934" s="2">
        <f>IF(AND(E934="Concluída",LEN(TRIM(F934))&gt;0),1,0)</f>
        <v/>
      </c>
      <c r="H934" s="4" t="inlineStr"/>
    </row>
    <row r="935" ht="54" customHeight="1">
      <c r="A935" s="2" t="inlineStr">
        <is>
          <t>E094</t>
        </is>
      </c>
      <c r="B935" s="2" t="inlineStr">
        <is>
          <t>E094.04</t>
        </is>
      </c>
      <c r="C935" s="2" t="inlineStr">
        <is>
          <t>Treinar identificação de proposta expirada e versão de arte incorreta.</t>
        </is>
      </c>
      <c r="D935" s="2" t="inlineStr">
        <is>
          <t>Operação, Atendimento e UX</t>
        </is>
      </c>
      <c r="E935" s="4" t="inlineStr">
        <is>
          <t>Pendente</t>
        </is>
      </c>
      <c r="F935" s="4" t="inlineStr"/>
      <c r="G935" s="2">
        <f>IF(AND(E935="Concluída",LEN(TRIM(F935))&gt;0),1,0)</f>
        <v/>
      </c>
      <c r="H935" s="4" t="inlineStr"/>
    </row>
    <row r="936" ht="54" customHeight="1">
      <c r="A936" s="2" t="inlineStr">
        <is>
          <t>E094</t>
        </is>
      </c>
      <c r="B936" s="2" t="inlineStr">
        <is>
          <t>E094.05</t>
        </is>
      </c>
      <c r="C936" s="2" t="inlineStr">
        <is>
          <t>Ensaiar atendimento de atraso, avaria e divergência de cobrança.</t>
        </is>
      </c>
      <c r="D936" s="2" t="inlineStr">
        <is>
          <t>Operação, Atendimento e UX</t>
        </is>
      </c>
      <c r="E936" s="4" t="inlineStr">
        <is>
          <t>Pendente</t>
        </is>
      </c>
      <c r="F936" s="4" t="inlineStr"/>
      <c r="G936" s="2">
        <f>IF(AND(E936="Concluída",LEN(TRIM(F936))&gt;0),1,0)</f>
        <v/>
      </c>
      <c r="H936" s="4" t="inlineStr"/>
    </row>
    <row r="937" ht="54" customHeight="1">
      <c r="A937" s="2" t="inlineStr">
        <is>
          <t>E094</t>
        </is>
      </c>
      <c r="B937" s="2" t="inlineStr">
        <is>
          <t>E094.06</t>
        </is>
      </c>
      <c r="C937" s="2" t="inlineStr">
        <is>
          <t>Definir escalonamento quando uma integração ou etapa operacional falhar.</t>
        </is>
      </c>
      <c r="D937" s="2" t="inlineStr">
        <is>
          <t>Operação, Atendimento e UX</t>
        </is>
      </c>
      <c r="E937" s="4" t="inlineStr">
        <is>
          <t>Pendente</t>
        </is>
      </c>
      <c r="F937" s="4" t="inlineStr"/>
      <c r="G937" s="2">
        <f>IF(AND(E937="Concluída",LEN(TRIM(F937))&gt;0),1,0)</f>
        <v/>
      </c>
      <c r="H937" s="4" t="inlineStr"/>
    </row>
    <row r="938" ht="54" customHeight="1">
      <c r="A938" s="2" t="inlineStr">
        <is>
          <t>E094</t>
        </is>
      </c>
      <c r="B938" s="2" t="inlineStr">
        <is>
          <t>E094.07</t>
        </is>
      </c>
      <c r="C938" s="2" t="inlineStr">
        <is>
          <t>Publicar horários e compromissos de atendimento realmente suportados.</t>
        </is>
      </c>
      <c r="D938" s="2" t="inlineStr">
        <is>
          <t>Operação, Atendimento e UX</t>
        </is>
      </c>
      <c r="E938" s="4" t="inlineStr">
        <is>
          <t>Pendente</t>
        </is>
      </c>
      <c r="F938" s="4" t="inlineStr"/>
      <c r="G938" s="2">
        <f>IF(AND(E938="Concluída",LEN(TRIM(F938))&gt;0),1,0)</f>
        <v/>
      </c>
      <c r="H938" s="4" t="inlineStr"/>
    </row>
    <row r="939" ht="54" customHeight="1">
      <c r="A939" s="2" t="inlineStr">
        <is>
          <t>E094</t>
        </is>
      </c>
      <c r="B939" s="2" t="inlineStr">
        <is>
          <t>E094.08</t>
        </is>
      </c>
      <c r="C939" s="2" t="inlineStr">
        <is>
          <t>Garantir acesso aos documentos e sistemas necessários a cada responsável.</t>
        </is>
      </c>
      <c r="D939" s="2" t="inlineStr">
        <is>
          <t>Operação, Atendimento e UX</t>
        </is>
      </c>
      <c r="E939" s="4" t="inlineStr">
        <is>
          <t>Pendente</t>
        </is>
      </c>
      <c r="F939" s="4" t="inlineStr"/>
      <c r="G939" s="2">
        <f>IF(AND(E939="Concluída",LEN(TRIM(F939))&gt;0),1,0)</f>
        <v/>
      </c>
      <c r="H939" s="4" t="inlineStr"/>
    </row>
    <row r="940" ht="54" customHeight="1">
      <c r="A940" s="2" t="inlineStr">
        <is>
          <t>E094</t>
        </is>
      </c>
      <c r="B940" s="2" t="inlineStr">
        <is>
          <t>E094.09</t>
        </is>
      </c>
      <c r="C940" s="2" t="inlineStr">
        <is>
          <t>Observar execução independente das tarefas após a orientação inicial.</t>
        </is>
      </c>
      <c r="D940" s="2" t="inlineStr">
        <is>
          <t>Operação, Atendimento e UX</t>
        </is>
      </c>
      <c r="E940" s="4" t="inlineStr">
        <is>
          <t>Pendente</t>
        </is>
      </c>
      <c r="F940" s="4" t="inlineStr"/>
      <c r="G940" s="2">
        <f>IF(AND(E940="Concluída",LEN(TRIM(F940))&gt;0),1,0)</f>
        <v/>
      </c>
      <c r="H940" s="4" t="inlineStr"/>
    </row>
    <row r="941" ht="54" customHeight="1">
      <c r="A941" s="2" t="inlineStr">
        <is>
          <t>E094</t>
        </is>
      </c>
      <c r="B941" s="2" t="inlineStr">
        <is>
          <t>E094.10</t>
        </is>
      </c>
      <c r="C941" s="2" t="inlineStr">
        <is>
          <t>Registrar lacunas de treinamento corrigidas e responsáveis de plantão do piloto.</t>
        </is>
      </c>
      <c r="D941" s="2" t="inlineStr">
        <is>
          <t>Operação, Atendimento e UX</t>
        </is>
      </c>
      <c r="E941" s="4" t="inlineStr">
        <is>
          <t>Pendente</t>
        </is>
      </c>
      <c r="F941" s="4" t="inlineStr"/>
      <c r="G941" s="2">
        <f>IF(AND(E941="Concluída",LEN(TRIM(F941))&gt;0),1,0)</f>
        <v/>
      </c>
      <c r="H941" s="4" t="inlineStr"/>
    </row>
    <row r="942" ht="54" customHeight="1">
      <c r="A942" s="2" t="inlineStr">
        <is>
          <t>E095</t>
        </is>
      </c>
      <c r="B942" s="2" t="inlineStr">
        <is>
          <t>E095.01</t>
        </is>
      </c>
      <c r="C942" s="2" t="inlineStr">
        <is>
          <t>Fixar commit candidato e mudanças incluídas na release.</t>
        </is>
      </c>
      <c r="D942" s="2" t="inlineStr">
        <is>
          <t>Liderança técnica, Produto e Operação</t>
        </is>
      </c>
      <c r="E942" s="4" t="inlineStr">
        <is>
          <t>Pendente</t>
        </is>
      </c>
      <c r="F942" s="4" t="inlineStr"/>
      <c r="G942" s="2">
        <f>IF(AND(E942="Concluída",LEN(TRIM(F942))&gt;0),1,0)</f>
        <v/>
      </c>
      <c r="H942" s="4" t="inlineStr"/>
    </row>
    <row r="943" ht="54" customHeight="1">
      <c r="A943" s="2" t="inlineStr">
        <is>
          <t>E095</t>
        </is>
      </c>
      <c r="B943" s="2" t="inlineStr">
        <is>
          <t>E095.02</t>
        </is>
      </c>
      <c r="C943" s="2" t="inlineStr">
        <is>
          <t>Executar gates obrigatórios no artefato que será implantado.</t>
        </is>
      </c>
      <c r="D943" s="2" t="inlineStr">
        <is>
          <t>Liderança técnica, Produto e Operação</t>
        </is>
      </c>
      <c r="E943" s="4" t="inlineStr">
        <is>
          <t>Pendente</t>
        </is>
      </c>
      <c r="F943" s="4" t="inlineStr"/>
      <c r="G943" s="2">
        <f>IF(AND(E943="Concluída",LEN(TRIM(F943))&gt;0),1,0)</f>
        <v/>
      </c>
      <c r="H943" s="4" t="inlineStr"/>
    </row>
    <row r="944" ht="54" customHeight="1">
      <c r="A944" s="2" t="inlineStr">
        <is>
          <t>E095</t>
        </is>
      </c>
      <c r="B944" s="2" t="inlineStr">
        <is>
          <t>E095.03</t>
        </is>
      </c>
      <c r="C944" s="2" t="inlineStr">
        <is>
          <t>Conferir variáveis, domínios, provedores e destinos dos dois bancos.</t>
        </is>
      </c>
      <c r="D944" s="2" t="inlineStr">
        <is>
          <t>Liderança técnica, Produto e Operação</t>
        </is>
      </c>
      <c r="E944" s="4" t="inlineStr">
        <is>
          <t>Pendente</t>
        </is>
      </c>
      <c r="F944" s="4" t="inlineStr"/>
      <c r="G944" s="2">
        <f>IF(AND(E944="Concluída",LEN(TRIM(F944))&gt;0),1,0)</f>
        <v/>
      </c>
      <c r="H944" s="4" t="inlineStr"/>
    </row>
    <row r="945" ht="54" customHeight="1">
      <c r="A945" s="2" t="inlineStr">
        <is>
          <t>E095</t>
        </is>
      </c>
      <c r="B945" s="2" t="inlineStr">
        <is>
          <t>E095.04</t>
        </is>
      </c>
      <c r="C945" s="2" t="inlineStr">
        <is>
          <t>Validar compatibilidade e reversibilidade de migrations próprias aplicáveis.</t>
        </is>
      </c>
      <c r="D945" s="2" t="inlineStr">
        <is>
          <t>Liderança técnica, Produto e Operação</t>
        </is>
      </c>
      <c r="E945" s="4" t="inlineStr">
        <is>
          <t>Pendente</t>
        </is>
      </c>
      <c r="F945" s="4" t="inlineStr"/>
      <c r="G945" s="2">
        <f>IF(AND(E945="Concluída",LEN(TRIM(F945))&gt;0),1,0)</f>
        <v/>
      </c>
      <c r="H945" s="4" t="inlineStr"/>
    </row>
    <row r="946" ht="54" customHeight="1">
      <c r="A946" s="2" t="inlineStr">
        <is>
          <t>E095</t>
        </is>
      </c>
      <c r="B946" s="2" t="inlineStr">
        <is>
          <t>E095.05</t>
        </is>
      </c>
      <c r="C946" s="2" t="inlineStr">
        <is>
          <t>Confirmar ausência de utilitários de teste e segredos no build público.</t>
        </is>
      </c>
      <c r="D946" s="2" t="inlineStr">
        <is>
          <t>Liderança técnica, Produto e Operação</t>
        </is>
      </c>
      <c r="E946" s="4" t="inlineStr">
        <is>
          <t>Pendente</t>
        </is>
      </c>
      <c r="F946" s="4" t="inlineStr"/>
      <c r="G946" s="2">
        <f>IF(AND(E946="Concluída",LEN(TRIM(F946))&gt;0),1,0)</f>
        <v/>
      </c>
      <c r="H946" s="4" t="inlineStr"/>
    </row>
    <row r="947" ht="54" customHeight="1">
      <c r="A947" s="2" t="inlineStr">
        <is>
          <t>E095</t>
        </is>
      </c>
      <c r="B947" s="2" t="inlineStr">
        <is>
          <t>E095.06</t>
        </is>
      </c>
      <c r="C947" s="2" t="inlineStr">
        <is>
          <t>Registrar limitações conhecidas e seu impacto sobre o escopo do piloto.</t>
        </is>
      </c>
      <c r="D947" s="2" t="inlineStr">
        <is>
          <t>Liderança técnica, Produto e Operação</t>
        </is>
      </c>
      <c r="E947" s="4" t="inlineStr">
        <is>
          <t>Pendente</t>
        </is>
      </c>
      <c r="F947" s="4" t="inlineStr"/>
      <c r="G947" s="2">
        <f>IF(AND(E947="Concluída",LEN(TRIM(F947))&gt;0),1,0)</f>
        <v/>
      </c>
      <c r="H947" s="4" t="inlineStr"/>
    </row>
    <row r="948" ht="54" customHeight="1">
      <c r="A948" s="2" t="inlineStr">
        <is>
          <t>E095</t>
        </is>
      </c>
      <c r="B948" s="2" t="inlineStr">
        <is>
          <t>E095.07</t>
        </is>
      </c>
      <c r="C948" s="2" t="inlineStr">
        <is>
          <t>Preparar critérios objetivos de interrupção e rollback.</t>
        </is>
      </c>
      <c r="D948" s="2" t="inlineStr">
        <is>
          <t>Liderança técnica, Produto e Operação</t>
        </is>
      </c>
      <c r="E948" s="4" t="inlineStr">
        <is>
          <t>Pendente</t>
        </is>
      </c>
      <c r="F948" s="4" t="inlineStr"/>
      <c r="G948" s="2">
        <f>IF(AND(E948="Concluída",LEN(TRIM(F948))&gt;0),1,0)</f>
        <v/>
      </c>
      <c r="H948" s="4" t="inlineStr"/>
    </row>
    <row r="949" ht="54" customHeight="1">
      <c r="A949" s="2" t="inlineStr">
        <is>
          <t>E095</t>
        </is>
      </c>
      <c r="B949" s="2" t="inlineStr">
        <is>
          <t>E095.08</t>
        </is>
      </c>
      <c r="C949" s="2" t="inlineStr">
        <is>
          <t>Confirmar responsáveis e meios de diagnóstico durante a abertura.</t>
        </is>
      </c>
      <c r="D949" s="2" t="inlineStr">
        <is>
          <t>Liderança técnica, Produto e Operação</t>
        </is>
      </c>
      <c r="E949" s="4" t="inlineStr">
        <is>
          <t>Pendente</t>
        </is>
      </c>
      <c r="F949" s="4" t="inlineStr"/>
      <c r="G949" s="2">
        <f>IF(AND(E949="Concluída",LEN(TRIM(F949))&gt;0),1,0)</f>
        <v/>
      </c>
      <c r="H949" s="4" t="inlineStr"/>
    </row>
    <row r="950" ht="54" customHeight="1">
      <c r="A950" s="2" t="inlineStr">
        <is>
          <t>E095</t>
        </is>
      </c>
      <c r="B950" s="2" t="inlineStr">
        <is>
          <t>E095.09</t>
        </is>
      </c>
      <c r="C950" s="2" t="inlineStr">
        <is>
          <t>Obter decisão de lançamento conforme a governança e autorizações já estabelecidas.</t>
        </is>
      </c>
      <c r="D950" s="2" t="inlineStr">
        <is>
          <t>Liderança técnica, Produto e Operação</t>
        </is>
      </c>
      <c r="E950" s="4" t="inlineStr">
        <is>
          <t>Pendente</t>
        </is>
      </c>
      <c r="F950" s="4" t="inlineStr"/>
      <c r="G950" s="2">
        <f>IF(AND(E950="Concluída",LEN(TRIM(F950))&gt;0),1,0)</f>
        <v/>
      </c>
      <c r="H950" s="4" t="inlineStr"/>
    </row>
    <row r="951" ht="54" customHeight="1">
      <c r="A951" s="2" t="inlineStr">
        <is>
          <t>E095</t>
        </is>
      </c>
      <c r="B951" s="2" t="inlineStr">
        <is>
          <t>E095.10</t>
        </is>
      </c>
      <c r="C951" s="2" t="inlineStr">
        <is>
          <t>Registrar aceite da release com evidências e sem desativar controles que falharam.</t>
        </is>
      </c>
      <c r="D951" s="2" t="inlineStr">
        <is>
          <t>Liderança técnica, Produto e Operação</t>
        </is>
      </c>
      <c r="E951" s="4" t="inlineStr">
        <is>
          <t>Pendente</t>
        </is>
      </c>
      <c r="F951" s="4" t="inlineStr"/>
      <c r="G951" s="2">
        <f>IF(AND(E951="Concluída",LEN(TRIM(F951))&gt;0),1,0)</f>
        <v/>
      </c>
      <c r="H951" s="4" t="inlineStr"/>
    </row>
    <row r="952" ht="54" customHeight="1">
      <c r="A952" s="2" t="inlineStr">
        <is>
          <t>E096</t>
        </is>
      </c>
      <c r="B952" s="2" t="inlineStr">
        <is>
          <t>E096.01</t>
        </is>
      </c>
      <c r="C952" s="2" t="inlineStr">
        <is>
          <t>Implantar o artefato aprovado pelo procedimento documentado.</t>
        </is>
      </c>
      <c r="D952" s="2" t="inlineStr">
        <is>
          <t>Infraestrutura, Produto e Operação</t>
        </is>
      </c>
      <c r="E952" s="4" t="inlineStr">
        <is>
          <t>Pendente</t>
        </is>
      </c>
      <c r="F952" s="4" t="inlineStr"/>
      <c r="G952" s="2">
        <f>IF(AND(E952="Concluída",LEN(TRIM(F952))&gt;0),1,0)</f>
        <v/>
      </c>
      <c r="H952" s="4" t="inlineStr"/>
    </row>
    <row r="953" ht="54" customHeight="1">
      <c r="A953" s="2" t="inlineStr">
        <is>
          <t>E096</t>
        </is>
      </c>
      <c r="B953" s="2" t="inlineStr">
        <is>
          <t>E096.02</t>
        </is>
      </c>
      <c r="C953" s="2" t="inlineStr">
        <is>
          <t>Confirmar domínio, certificado e commit efetivamente publicados.</t>
        </is>
      </c>
      <c r="D953" s="2" t="inlineStr">
        <is>
          <t>Infraestrutura, Produto e Operação</t>
        </is>
      </c>
      <c r="E953" s="4" t="inlineStr">
        <is>
          <t>Pendente</t>
        </is>
      </c>
      <c r="F953" s="4" t="inlineStr"/>
      <c r="G953" s="2">
        <f>IF(AND(E953="Concluída",LEN(TRIM(F953))&gt;0),1,0)</f>
        <v/>
      </c>
      <c r="H953" s="4" t="inlineStr"/>
    </row>
    <row r="954" ht="54" customHeight="1">
      <c r="A954" s="2" t="inlineStr">
        <is>
          <t>E096</t>
        </is>
      </c>
      <c r="B954" s="2" t="inlineStr">
        <is>
          <t>E096.03</t>
        </is>
      </c>
      <c r="C954" s="2" t="inlineStr">
        <is>
          <t>Verificar leitura real do catálogo com identidade de privilégio mínimo.</t>
        </is>
      </c>
      <c r="D954" s="2" t="inlineStr">
        <is>
          <t>Infraestrutura, Produto e Operação</t>
        </is>
      </c>
      <c r="E954" s="4" t="inlineStr">
        <is>
          <t>Pendente</t>
        </is>
      </c>
      <c r="F954" s="4" t="inlineStr"/>
      <c r="G954" s="2">
        <f>IF(AND(E954="Concluída",LEN(TRIM(F954))&gt;0),1,0)</f>
        <v/>
      </c>
      <c r="H954" s="4" t="inlineStr"/>
    </row>
    <row r="955" ht="54" customHeight="1">
      <c r="A955" s="2" t="inlineStr">
        <is>
          <t>E096</t>
        </is>
      </c>
      <c r="B955" s="2" t="inlineStr">
        <is>
          <t>E096.04</t>
        </is>
      </c>
      <c r="C955" s="2" t="inlineStr">
        <is>
          <t>Confirmar que métodos de autenticação exibidos funcionam em produção.</t>
        </is>
      </c>
      <c r="D955" s="2" t="inlineStr">
        <is>
          <t>Infraestrutura, Produto e Operação</t>
        </is>
      </c>
      <c r="E955" s="4" t="inlineStr">
        <is>
          <t>Pendente</t>
        </is>
      </c>
      <c r="F955" s="4" t="inlineStr"/>
      <c r="G955" s="2">
        <f>IF(AND(E955="Concluída",LEN(TRIM(F955))&gt;0),1,0)</f>
        <v/>
      </c>
      <c r="H955" s="4" t="inlineStr"/>
    </row>
    <row r="956" ht="54" customHeight="1">
      <c r="A956" s="2" t="inlineStr">
        <is>
          <t>E096</t>
        </is>
      </c>
      <c r="B956" s="2" t="inlineStr">
        <is>
          <t>E096.05</t>
        </is>
      </c>
      <c r="C956" s="2" t="inlineStr">
        <is>
          <t>Validar contexto e permissões dos usuários autorizados do piloto.</t>
        </is>
      </c>
      <c r="D956" s="2" t="inlineStr">
        <is>
          <t>Infraestrutura, Produto e Operação</t>
        </is>
      </c>
      <c r="E956" s="4" t="inlineStr">
        <is>
          <t>Pendente</t>
        </is>
      </c>
      <c r="F956" s="4" t="inlineStr"/>
      <c r="G956" s="2">
        <f>IF(AND(E956="Concluída",LEN(TRIM(F956))&gt;0),1,0)</f>
        <v/>
      </c>
      <c r="H956" s="4" t="inlineStr"/>
    </row>
    <row r="957" ht="54" customHeight="1">
      <c r="A957" s="2" t="inlineStr">
        <is>
          <t>E096</t>
        </is>
      </c>
      <c r="B957" s="2" t="inlineStr">
        <is>
          <t>E096.06</t>
        </is>
      </c>
      <c r="C957" s="2" t="inlineStr">
        <is>
          <t>Checar acesso a artes, documentos e arquivos privados necessários.</t>
        </is>
      </c>
      <c r="D957" s="2" t="inlineStr">
        <is>
          <t>Infraestrutura, Produto e Operação</t>
        </is>
      </c>
      <c r="E957" s="4" t="inlineStr">
        <is>
          <t>Pendente</t>
        </is>
      </c>
      <c r="F957" s="4" t="inlineStr"/>
      <c r="G957" s="2">
        <f>IF(AND(E957="Concluída",LEN(TRIM(F957))&gt;0),1,0)</f>
        <v/>
      </c>
      <c r="H957" s="4" t="inlineStr"/>
    </row>
    <row r="958" ht="54" customHeight="1">
      <c r="A958" s="2" t="inlineStr">
        <is>
          <t>E096</t>
        </is>
      </c>
      <c r="B958" s="2" t="inlineStr">
        <is>
          <t>E096.07</t>
        </is>
      </c>
      <c r="C958" s="2" t="inlineStr">
        <is>
          <t>Confirmar alertas e correlação de eventos no ambiente produtivo.</t>
        </is>
      </c>
      <c r="D958" s="2" t="inlineStr">
        <is>
          <t>Infraestrutura, Produto e Operação</t>
        </is>
      </c>
      <c r="E958" s="4" t="inlineStr">
        <is>
          <t>Pendente</t>
        </is>
      </c>
      <c r="F958" s="4" t="inlineStr"/>
      <c r="G958" s="2">
        <f>IF(AND(E958="Concluída",LEN(TRIM(F958))&gt;0),1,0)</f>
        <v/>
      </c>
      <c r="H958" s="4" t="inlineStr"/>
    </row>
    <row r="959" ht="54" customHeight="1">
      <c r="A959" s="2" t="inlineStr">
        <is>
          <t>E096</t>
        </is>
      </c>
      <c r="B959" s="2" t="inlineStr">
        <is>
          <t>E096.08</t>
        </is>
      </c>
      <c r="C959" s="2" t="inlineStr">
        <is>
          <t>Executar smoke test autorizado sem gerar compra ou cobrança acidental.</t>
        </is>
      </c>
      <c r="D959" s="2" t="inlineStr">
        <is>
          <t>Infraestrutura, Produto e Operação</t>
        </is>
      </c>
      <c r="E959" s="4" t="inlineStr">
        <is>
          <t>Pendente</t>
        </is>
      </c>
      <c r="F959" s="4" t="inlineStr"/>
      <c r="G959" s="2">
        <f>IF(AND(E959="Concluída",LEN(TRIM(F959))&gt;0),1,0)</f>
        <v/>
      </c>
      <c r="H959" s="4" t="inlineStr"/>
    </row>
    <row r="960" ht="54" customHeight="1">
      <c r="A960" s="2" t="inlineStr">
        <is>
          <t>E096</t>
        </is>
      </c>
      <c r="B960" s="2" t="inlineStr">
        <is>
          <t>E096.09</t>
        </is>
      </c>
      <c r="C960" s="2" t="inlineStr">
        <is>
          <t>Aplicar critérios de interrupção se ocorrer bloqueador de segurança ou integridade.</t>
        </is>
      </c>
      <c r="D960" s="2" t="inlineStr">
        <is>
          <t>Infraestrutura, Produto e Operação</t>
        </is>
      </c>
      <c r="E960" s="4" t="inlineStr">
        <is>
          <t>Pendente</t>
        </is>
      </c>
      <c r="F960" s="4" t="inlineStr"/>
      <c r="G960" s="2">
        <f>IF(AND(E960="Concluída",LEN(TRIM(F960))&gt;0),1,0)</f>
        <v/>
      </c>
      <c r="H960" s="4" t="inlineStr"/>
    </row>
    <row r="961" ht="54" customHeight="1">
      <c r="A961" s="2" t="inlineStr">
        <is>
          <t>E096</t>
        </is>
      </c>
      <c r="B961" s="2" t="inlineStr">
        <is>
          <t>E096.10</t>
        </is>
      </c>
      <c r="C961" s="2" t="inlineStr">
        <is>
          <t>Registrar evidências de produção e liberar uso ao grupo piloto autorizado.</t>
        </is>
      </c>
      <c r="D961" s="2" t="inlineStr">
        <is>
          <t>Infraestrutura, Produto e Operação</t>
        </is>
      </c>
      <c r="E961" s="4" t="inlineStr">
        <is>
          <t>Pendente</t>
        </is>
      </c>
      <c r="F961" s="4" t="inlineStr"/>
      <c r="G961" s="2">
        <f>IF(AND(E961="Concluída",LEN(TRIM(F961))&gt;0),1,0)</f>
        <v/>
      </c>
      <c r="H961" s="4" t="inlineStr"/>
    </row>
    <row r="962" ht="54" customHeight="1">
      <c r="A962" s="2" t="inlineStr">
        <is>
          <t>E097</t>
        </is>
      </c>
      <c r="B962" s="2" t="inlineStr">
        <is>
          <t>E097.01</t>
        </is>
      </c>
      <c r="C962" s="2" t="inlineStr">
        <is>
          <t>Selecionar uma necessidade real aprovada pela cooperativa participante.</t>
        </is>
      </c>
      <c r="D962" s="2" t="inlineStr">
        <is>
          <t>Produto, Cooperativa piloto e Operação</t>
        </is>
      </c>
      <c r="E962" s="4" t="inlineStr">
        <is>
          <t>Pendente</t>
        </is>
      </c>
      <c r="F962" s="4" t="inlineStr"/>
      <c r="G962" s="2">
        <f>IF(AND(E962="Concluída",LEN(TRIM(F962))&gt;0),1,0)</f>
        <v/>
      </c>
      <c r="H962" s="4" t="inlineStr"/>
    </row>
    <row r="963" ht="54" customHeight="1">
      <c r="A963" s="2" t="inlineStr">
        <is>
          <t>E097</t>
        </is>
      </c>
      <c r="B963" s="2" t="inlineStr">
        <is>
          <t>E097.02</t>
        </is>
      </c>
      <c r="C963" s="2" t="inlineStr">
        <is>
          <t>Montar proposta vigente com itens, personalização, verba e destinos confirmados.</t>
        </is>
      </c>
      <c r="D963" s="2" t="inlineStr">
        <is>
          <t>Produto, Cooperativa piloto e Operação</t>
        </is>
      </c>
      <c r="E963" s="4" t="inlineStr">
        <is>
          <t>Pendente</t>
        </is>
      </c>
      <c r="F963" s="4" t="inlineStr"/>
      <c r="G963" s="2">
        <f>IF(AND(E963="Concluída",LEN(TRIM(F963))&gt;0),1,0)</f>
        <v/>
      </c>
      <c r="H963" s="4" t="inlineStr"/>
    </row>
    <row r="964" ht="54" customHeight="1">
      <c r="A964" s="2" t="inlineStr">
        <is>
          <t>E097</t>
        </is>
      </c>
      <c r="B964" s="2" t="inlineStr">
        <is>
          <t>E097.03</t>
        </is>
      </c>
      <c r="C964" s="2" t="inlineStr">
        <is>
          <t>Executar aprovações reais de arte e despesa pelas pessoas competentes.</t>
        </is>
      </c>
      <c r="D964" s="2" t="inlineStr">
        <is>
          <t>Produto, Cooperativa piloto e Operação</t>
        </is>
      </c>
      <c r="E964" s="4" t="inlineStr">
        <is>
          <t>Pendente</t>
        </is>
      </c>
      <c r="F964" s="4" t="inlineStr"/>
      <c r="G964" s="2">
        <f>IF(AND(E964="Concluída",LEN(TRIM(F964))&gt;0),1,0)</f>
        <v/>
      </c>
      <c r="H964" s="4" t="inlineStr"/>
    </row>
    <row r="965" ht="54" customHeight="1">
      <c r="A965" s="2" t="inlineStr">
        <is>
          <t>E097</t>
        </is>
      </c>
      <c r="B965" s="2" t="inlineStr">
        <is>
          <t>E097.04</t>
        </is>
      </c>
      <c r="C965" s="2" t="inlineStr">
        <is>
          <t>Conferir compromisso de verba e versão liberada ao fornecedor.</t>
        </is>
      </c>
      <c r="D965" s="2" t="inlineStr">
        <is>
          <t>Produto, Cooperativa piloto e Operação</t>
        </is>
      </c>
      <c r="E965" s="4" t="inlineStr">
        <is>
          <t>Pendente</t>
        </is>
      </c>
      <c r="F965" s="4" t="inlineStr"/>
      <c r="G965" s="2">
        <f>IF(AND(E965="Concluída",LEN(TRIM(F965))&gt;0),1,0)</f>
        <v/>
      </c>
      <c r="H965" s="4" t="inlineStr"/>
    </row>
    <row r="966" ht="54" customHeight="1">
      <c r="A966" s="2" t="inlineStr">
        <is>
          <t>E097</t>
        </is>
      </c>
      <c r="B966" s="2" t="inlineStr">
        <is>
          <t>E097.05</t>
        </is>
      </c>
      <c r="C966" s="2" t="inlineStr">
        <is>
          <t>Obter reconfirmação operacional de disponibilidade e prazo contratado.</t>
        </is>
      </c>
      <c r="D966" s="2" t="inlineStr">
        <is>
          <t>Produto, Cooperativa piloto e Operação</t>
        </is>
      </c>
      <c r="E966" s="4" t="inlineStr">
        <is>
          <t>Pendente</t>
        </is>
      </c>
      <c r="F966" s="4" t="inlineStr"/>
      <c r="G966" s="2">
        <f>IF(AND(E966="Concluída",LEN(TRIM(F966))&gt;0),1,0)</f>
        <v/>
      </c>
      <c r="H966" s="4" t="inlineStr"/>
    </row>
    <row r="967" ht="54" customHeight="1">
      <c r="A967" s="2" t="inlineStr">
        <is>
          <t>E097</t>
        </is>
      </c>
      <c r="B967" s="2" t="inlineStr">
        <is>
          <t>E097.06</t>
        </is>
      </c>
      <c r="C967" s="2" t="inlineStr">
        <is>
          <t>Acompanhar produção e eventuais alterações pelo fluxo autorizado.</t>
        </is>
      </c>
      <c r="D967" s="2" t="inlineStr">
        <is>
          <t>Produto, Cooperativa piloto e Operação</t>
        </is>
      </c>
      <c r="E967" s="4" t="inlineStr">
        <is>
          <t>Pendente</t>
        </is>
      </c>
      <c r="F967" s="4" t="inlineStr"/>
      <c r="G967" s="2">
        <f>IF(AND(E967="Concluída",LEN(TRIM(F967))&gt;0),1,0)</f>
        <v/>
      </c>
      <c r="H967" s="4" t="inlineStr"/>
    </row>
    <row r="968" ht="54" customHeight="1">
      <c r="A968" s="2" t="inlineStr">
        <is>
          <t>E097</t>
        </is>
      </c>
      <c r="B968" s="2" t="inlineStr">
        <is>
          <t>E097.07</t>
        </is>
      </c>
      <c r="C968" s="2" t="inlineStr">
        <is>
          <t>Registrar expedição, rastreio e recebimento de cada destino.</t>
        </is>
      </c>
      <c r="D968" s="2" t="inlineStr">
        <is>
          <t>Produto, Cooperativa piloto e Operação</t>
        </is>
      </c>
      <c r="E968" s="4" t="inlineStr">
        <is>
          <t>Pendente</t>
        </is>
      </c>
      <c r="F968" s="4" t="inlineStr"/>
      <c r="G968" s="2">
        <f>IF(AND(E968="Concluída",LEN(TRIM(F968))&gt;0),1,0)</f>
        <v/>
      </c>
      <c r="H968" s="4" t="inlineStr"/>
    </row>
    <row r="969" ht="54" customHeight="1">
      <c r="A969" s="2" t="inlineStr">
        <is>
          <t>E097</t>
        </is>
      </c>
      <c r="B969" s="2" t="inlineStr">
        <is>
          <t>E097.08</t>
        </is>
      </c>
      <c r="C969" s="2" t="inlineStr">
        <is>
          <t>Resolver divergências da compra sem apagar seu histórico.</t>
        </is>
      </c>
      <c r="D969" s="2" t="inlineStr">
        <is>
          <t>Produto, Cooperativa piloto e Operação</t>
        </is>
      </c>
      <c r="E969" s="4" t="inlineStr">
        <is>
          <t>Pendente</t>
        </is>
      </c>
      <c r="F969" s="4" t="inlineStr"/>
      <c r="G969" s="2">
        <f>IF(AND(E969="Concluída",LEN(TRIM(F969))&gt;0),1,0)</f>
        <v/>
      </c>
      <c r="H969" s="4" t="inlineStr"/>
    </row>
    <row r="970" ht="54" customHeight="1">
      <c r="A970" s="2" t="inlineStr">
        <is>
          <t>E097</t>
        </is>
      </c>
      <c r="B970" s="2" t="inlineStr">
        <is>
          <t>E097.09</t>
        </is>
      </c>
      <c r="C970" s="2" t="inlineStr">
        <is>
          <t>Conciliar documentação, quantidades, condições financeiras e saldo final.</t>
        </is>
      </c>
      <c r="D970" s="2" t="inlineStr">
        <is>
          <t>Produto, Cooperativa piloto e Operação</t>
        </is>
      </c>
      <c r="E970" s="4" t="inlineStr">
        <is>
          <t>Pendente</t>
        </is>
      </c>
      <c r="F970" s="4" t="inlineStr"/>
      <c r="G970" s="2">
        <f>IF(AND(E970="Concluída",LEN(TRIM(F970))&gt;0),1,0)</f>
        <v/>
      </c>
      <c r="H970" s="4" t="inlineStr"/>
    </row>
    <row r="971" ht="54" customHeight="1">
      <c r="A971" s="2" t="inlineStr">
        <is>
          <t>E097</t>
        </is>
      </c>
      <c r="B971" s="2" t="inlineStr">
        <is>
          <t>E097.10</t>
        </is>
      </c>
      <c r="C971" s="2" t="inlineStr">
        <is>
          <t>Obter confirmação dos responsáveis de que a compra foi concluída na operação real.</t>
        </is>
      </c>
      <c r="D971" s="2" t="inlineStr">
        <is>
          <t>Produto, Cooperativa piloto e Operação</t>
        </is>
      </c>
      <c r="E971" s="4" t="inlineStr">
        <is>
          <t>Pendente</t>
        </is>
      </c>
      <c r="F971" s="4" t="inlineStr"/>
      <c r="G971" s="2">
        <f>IF(AND(E971="Concluída",LEN(TRIM(F971))&gt;0),1,0)</f>
        <v/>
      </c>
      <c r="H971" s="4" t="inlineStr"/>
    </row>
    <row r="972" ht="54" customHeight="1">
      <c r="A972" s="2" t="inlineStr">
        <is>
          <t>E098</t>
        </is>
      </c>
      <c r="B972" s="2" t="inlineStr">
        <is>
          <t>E098.01</t>
        </is>
      </c>
      <c r="C972" s="2" t="inlineStr">
        <is>
          <t>Fixar janela de avaliação e conjunto de pedidos considerados.</t>
        </is>
      </c>
      <c r="D972" s="2" t="inlineStr">
        <is>
          <t>Produto, Dados, UX e Operação</t>
        </is>
      </c>
      <c r="E972" s="4" t="inlineStr">
        <is>
          <t>Pendente</t>
        </is>
      </c>
      <c r="F972" s="4" t="inlineStr"/>
      <c r="G972" s="2">
        <f>IF(AND(E972="Concluída",LEN(TRIM(F972))&gt;0),1,0)</f>
        <v/>
      </c>
      <c r="H972" s="4" t="inlineStr"/>
    </row>
    <row r="973" ht="54" customHeight="1">
      <c r="A973" s="2" t="inlineStr">
        <is>
          <t>E098</t>
        </is>
      </c>
      <c r="B973" s="2" t="inlineStr">
        <is>
          <t>E098.02</t>
        </is>
      </c>
      <c r="C973" s="2" t="inlineStr">
        <is>
          <t>Medir tempos de solicitação, arte, despesa e entrega com seus denominadores.</t>
        </is>
      </c>
      <c r="D973" s="2" t="inlineStr">
        <is>
          <t>Produto, Dados, UX e Operação</t>
        </is>
      </c>
      <c r="E973" s="4" t="inlineStr">
        <is>
          <t>Pendente</t>
        </is>
      </c>
      <c r="F973" s="4" t="inlineStr"/>
      <c r="G973" s="2">
        <f>IF(AND(E973="Concluída",LEN(TRIM(F973))&gt;0),1,0)</f>
        <v/>
      </c>
      <c r="H973" s="4" t="inlineStr"/>
    </row>
    <row r="974" ht="54" customHeight="1">
      <c r="A974" s="2" t="inlineStr">
        <is>
          <t>E098</t>
        </is>
      </c>
      <c r="B974" s="2" t="inlineStr">
        <is>
          <t>E098.03</t>
        </is>
      </c>
      <c r="C974" s="2" t="inlineStr">
        <is>
          <t>Registrar intervenções humanas necessárias para concluir a compra.</t>
        </is>
      </c>
      <c r="D974" s="2" t="inlineStr">
        <is>
          <t>Produto, Dados, UX e Operação</t>
        </is>
      </c>
      <c r="E974" s="4" t="inlineStr">
        <is>
          <t>Pendente</t>
        </is>
      </c>
      <c r="F974" s="4" t="inlineStr"/>
      <c r="G974" s="2">
        <f>IF(AND(E974="Concluída",LEN(TRIM(F974))&gt;0),1,0)</f>
        <v/>
      </c>
      <c r="H974" s="4" t="inlineStr"/>
    </row>
    <row r="975" ht="54" customHeight="1">
      <c r="A975" s="2" t="inlineStr">
        <is>
          <t>E098</t>
        </is>
      </c>
      <c r="B975" s="2" t="inlineStr">
        <is>
          <t>E098.04</t>
        </is>
      </c>
      <c r="C975" s="2" t="inlineStr">
        <is>
          <t>Coletar dúvidas e fricções de compradores, marketing e recebedores.</t>
        </is>
      </c>
      <c r="D975" s="2" t="inlineStr">
        <is>
          <t>Produto, Dados, UX e Operação</t>
        </is>
      </c>
      <c r="E975" s="4" t="inlineStr">
        <is>
          <t>Pendente</t>
        </is>
      </c>
      <c r="F975" s="4" t="inlineStr"/>
      <c r="G975" s="2">
        <f>IF(AND(E975="Concluída",LEN(TRIM(F975))&gt;0),1,0)</f>
        <v/>
      </c>
      <c r="H975" s="4" t="inlineStr"/>
    </row>
    <row r="976" ht="54" customHeight="1">
      <c r="A976" s="2" t="inlineStr">
        <is>
          <t>E098</t>
        </is>
      </c>
      <c r="B976" s="2" t="inlineStr">
        <is>
          <t>E098.05</t>
        </is>
      </c>
      <c r="C976" s="2" t="inlineStr">
        <is>
          <t>Comparar previsão e entrega sem atribuir causas não investigadas.</t>
        </is>
      </c>
      <c r="D976" s="2" t="inlineStr">
        <is>
          <t>Produto, Dados, UX e Operação</t>
        </is>
      </c>
      <c r="E976" s="4" t="inlineStr">
        <is>
          <t>Pendente</t>
        </is>
      </c>
      <c r="F976" s="4" t="inlineStr"/>
      <c r="G976" s="2">
        <f>IF(AND(E976="Concluída",LEN(TRIM(F976))&gt;0),1,0)</f>
        <v/>
      </c>
      <c r="H976" s="4" t="inlineStr"/>
    </row>
    <row r="977" ht="54" customHeight="1">
      <c r="A977" s="2" t="inlineStr">
        <is>
          <t>E098</t>
        </is>
      </c>
      <c r="B977" s="2" t="inlineStr">
        <is>
          <t>E098.06</t>
        </is>
      </c>
      <c r="C977" s="2" t="inlineStr">
        <is>
          <t>Medir desempenho de campo quando a amostra permitir interpretação.</t>
        </is>
      </c>
      <c r="D977" s="2" t="inlineStr">
        <is>
          <t>Produto, Dados, UX e Operação</t>
        </is>
      </c>
      <c r="E977" s="4" t="inlineStr">
        <is>
          <t>Pendente</t>
        </is>
      </c>
      <c r="F977" s="4" t="inlineStr"/>
      <c r="G977" s="2">
        <f>IF(AND(E977="Concluída",LEN(TRIM(F977))&gt;0),1,0)</f>
        <v/>
      </c>
      <c r="H977" s="4" t="inlineStr"/>
    </row>
    <row r="978" ht="54" customHeight="1">
      <c r="A978" s="2" t="inlineStr">
        <is>
          <t>E098</t>
        </is>
      </c>
      <c r="B978" s="2" t="inlineStr">
        <is>
          <t>E098.07</t>
        </is>
      </c>
      <c r="C978" s="2" t="inlineStr">
        <is>
          <t>Priorizar correções por impacto observado e risco operacional.</t>
        </is>
      </c>
      <c r="D978" s="2" t="inlineStr">
        <is>
          <t>Produto, Dados, UX e Operação</t>
        </is>
      </c>
      <c r="E978" s="4" t="inlineStr">
        <is>
          <t>Pendente</t>
        </is>
      </c>
      <c r="F978" s="4" t="inlineStr"/>
      <c r="G978" s="2">
        <f>IF(AND(E978="Concluída",LEN(TRIM(F978))&gt;0),1,0)</f>
        <v/>
      </c>
      <c r="H978" s="4" t="inlineStr"/>
    </row>
    <row r="979" ht="54" customHeight="1">
      <c r="A979" s="2" t="inlineStr">
        <is>
          <t>E098</t>
        </is>
      </c>
      <c r="B979" s="2" t="inlineStr">
        <is>
          <t>E098.08</t>
        </is>
      </c>
      <c r="C979" s="2" t="inlineStr">
        <is>
          <t>Implementar correções pequenas pelo fluxo normal de revisão e validação.</t>
        </is>
      </c>
      <c r="D979" s="2" t="inlineStr">
        <is>
          <t>Produto, Dados, UX e Operação</t>
        </is>
      </c>
      <c r="E979" s="4" t="inlineStr">
        <is>
          <t>Pendente</t>
        </is>
      </c>
      <c r="F979" s="4" t="inlineStr"/>
      <c r="G979" s="2">
        <f>IF(AND(E979="Concluída",LEN(TRIM(F979))&gt;0),1,0)</f>
        <v/>
      </c>
      <c r="H979" s="4" t="inlineStr"/>
    </row>
    <row r="980" ht="54" customHeight="1">
      <c r="A980" s="2" t="inlineStr">
        <is>
          <t>E098</t>
        </is>
      </c>
      <c r="B980" s="2" t="inlineStr">
        <is>
          <t>E098.09</t>
        </is>
      </c>
      <c r="C980" s="2" t="inlineStr">
        <is>
          <t>Rever os cenários afetados e registrar o efeito das mudanças.</t>
        </is>
      </c>
      <c r="D980" s="2" t="inlineStr">
        <is>
          <t>Produto, Dados, UX e Operação</t>
        </is>
      </c>
      <c r="E980" s="4" t="inlineStr">
        <is>
          <t>Pendente</t>
        </is>
      </c>
      <c r="F980" s="4" t="inlineStr"/>
      <c r="G980" s="2">
        <f>IF(AND(E980="Concluída",LEN(TRIM(F980))&gt;0),1,0)</f>
        <v/>
      </c>
      <c r="H980" s="4" t="inlineStr"/>
    </row>
    <row r="981" ht="54" customHeight="1">
      <c r="A981" s="2" t="inlineStr">
        <is>
          <t>E098</t>
        </is>
      </c>
      <c r="B981" s="2" t="inlineStr">
        <is>
          <t>E098.10</t>
        </is>
      </c>
      <c r="C981" s="2" t="inlineStr">
        <is>
          <t>Decidir expansão ou novo ciclo de ajuste com base nas evidências do piloto.</t>
        </is>
      </c>
      <c r="D981" s="2" t="inlineStr">
        <is>
          <t>Produto, Dados, UX e Operação</t>
        </is>
      </c>
      <c r="E981" s="4" t="inlineStr">
        <is>
          <t>Pendente</t>
        </is>
      </c>
      <c r="F981" s="4" t="inlineStr"/>
      <c r="G981" s="2">
        <f>IF(AND(E981="Concluída",LEN(TRIM(F981))&gt;0),1,0)</f>
        <v/>
      </c>
      <c r="H981" s="4" t="inlineStr"/>
    </row>
    <row r="982" ht="54" customHeight="1">
      <c r="A982" s="2" t="inlineStr">
        <is>
          <t>E099</t>
        </is>
      </c>
      <c r="B982" s="2" t="inlineStr">
        <is>
          <t>E099.01</t>
        </is>
      </c>
      <c r="C982" s="2" t="inlineStr">
        <is>
          <t>Selecionar segunda cooperativa e confirmar autorização para participação.</t>
        </is>
      </c>
      <c r="D982" s="2" t="inlineStr">
        <is>
          <t>Produto, Compras e Engenharia</t>
        </is>
      </c>
      <c r="E982" s="4" t="inlineStr">
        <is>
          <t>Pendente</t>
        </is>
      </c>
      <c r="F982" s="4" t="inlineStr"/>
      <c r="G982" s="2">
        <f>IF(AND(E982="Concluída",LEN(TRIM(F982))&gt;0),1,0)</f>
        <v/>
      </c>
      <c r="H982" s="4" t="inlineStr"/>
    </row>
    <row r="983" ht="54" customHeight="1">
      <c r="A983" s="2" t="inlineStr">
        <is>
          <t>E099</t>
        </is>
      </c>
      <c r="B983" s="2" t="inlineStr">
        <is>
          <t>E099.02</t>
        </is>
      </c>
      <c r="C983" s="2" t="inlineStr">
        <is>
          <t>Documentar diferenças de alçada, cotação, categoria e calendário.</t>
        </is>
      </c>
      <c r="D983" s="2" t="inlineStr">
        <is>
          <t>Produto, Compras e Engenharia</t>
        </is>
      </c>
      <c r="E983" s="4" t="inlineStr">
        <is>
          <t>Pendente</t>
        </is>
      </c>
      <c r="F983" s="4" t="inlineStr"/>
      <c r="G983" s="2">
        <f>IF(AND(E983="Concluída",LEN(TRIM(F983))&gt;0),1,0)</f>
        <v/>
      </c>
      <c r="H983" s="4" t="inlineStr"/>
    </row>
    <row r="984" ht="54" customHeight="1">
      <c r="A984" s="2" t="inlineStr">
        <is>
          <t>E099</t>
        </is>
      </c>
      <c r="B984" s="2" t="inlineStr">
        <is>
          <t>E099.03</t>
        </is>
      </c>
      <c r="C984" s="2" t="inlineStr">
        <is>
          <t>Configurar vínculos, unidades e centros de custo correspondentes.</t>
        </is>
      </c>
      <c r="D984" s="2" t="inlineStr">
        <is>
          <t>Produto, Compras e Engenharia</t>
        </is>
      </c>
      <c r="E984" s="4" t="inlineStr">
        <is>
          <t>Pendente</t>
        </is>
      </c>
      <c r="F984" s="4" t="inlineStr"/>
      <c r="G984" s="2">
        <f>IF(AND(E984="Concluída",LEN(TRIM(F984))&gt;0),1,0)</f>
        <v/>
      </c>
      <c r="H984" s="4" t="inlineStr"/>
    </row>
    <row r="985" ht="54" customHeight="1">
      <c r="A985" s="2" t="inlineStr">
        <is>
          <t>E099</t>
        </is>
      </c>
      <c r="B985" s="2" t="inlineStr">
        <is>
          <t>E099.04</t>
        </is>
      </c>
      <c r="C985" s="2" t="inlineStr">
        <is>
          <t>Aplicar políticas por configuração, evitando cópias de código por cliente.</t>
        </is>
      </c>
      <c r="D985" s="2" t="inlineStr">
        <is>
          <t>Produto, Compras e Engenharia</t>
        </is>
      </c>
      <c r="E985" s="4" t="inlineStr">
        <is>
          <t>Pendente</t>
        </is>
      </c>
      <c r="F985" s="4" t="inlineStr"/>
      <c r="G985" s="2">
        <f>IF(AND(E985="Concluída",LEN(TRIM(F985))&gt;0),1,0)</f>
        <v/>
      </c>
      <c r="H985" s="4" t="inlineStr"/>
    </row>
    <row r="986" ht="54" customHeight="1">
      <c r="A986" s="2" t="inlineStr">
        <is>
          <t>E099</t>
        </is>
      </c>
      <c r="B986" s="2" t="inlineStr">
        <is>
          <t>E099.05</t>
        </is>
      </c>
      <c r="C986" s="2" t="inlineStr">
        <is>
          <t>Validar identidade local e ativos autorizados dessa cooperativa.</t>
        </is>
      </c>
      <c r="D986" s="2" t="inlineStr">
        <is>
          <t>Produto, Compras e Engenharia</t>
        </is>
      </c>
      <c r="E986" s="4" t="inlineStr">
        <is>
          <t>Pendente</t>
        </is>
      </c>
      <c r="F986" s="4" t="inlineStr"/>
      <c r="G986" s="2">
        <f>IF(AND(E986="Concluída",LEN(TRIM(F986))&gt;0),1,0)</f>
        <v/>
      </c>
      <c r="H986" s="4" t="inlineStr"/>
    </row>
    <row r="987" ht="54" customHeight="1">
      <c r="A987" s="2" t="inlineStr">
        <is>
          <t>E099</t>
        </is>
      </c>
      <c r="B987" s="2" t="inlineStr">
        <is>
          <t>E099.06</t>
        </is>
      </c>
      <c r="C987" s="2" t="inlineStr">
        <is>
          <t>Repetir testes de isolamento entre as duas organizações ativas.</t>
        </is>
      </c>
      <c r="D987" s="2" t="inlineStr">
        <is>
          <t>Produto, Compras e Engenharia</t>
        </is>
      </c>
      <c r="E987" s="4" t="inlineStr">
        <is>
          <t>Pendente</t>
        </is>
      </c>
      <c r="F987" s="4" t="inlineStr"/>
      <c r="G987" s="2">
        <f>IF(AND(E987="Concluída",LEN(TRIM(F987))&gt;0),1,0)</f>
        <v/>
      </c>
      <c r="H987" s="4" t="inlineStr"/>
    </row>
    <row r="988" ht="54" customHeight="1">
      <c r="A988" s="2" t="inlineStr">
        <is>
          <t>E099</t>
        </is>
      </c>
      <c r="B988" s="2" t="inlineStr">
        <is>
          <t>E099.07</t>
        </is>
      </c>
      <c r="C988" s="2" t="inlineStr">
        <is>
          <t>Ensaiar aprovação e delegação com as regras diferentes.</t>
        </is>
      </c>
      <c r="D988" s="2" t="inlineStr">
        <is>
          <t>Produto, Compras e Engenharia</t>
        </is>
      </c>
      <c r="E988" s="4" t="inlineStr">
        <is>
          <t>Pendente</t>
        </is>
      </c>
      <c r="F988" s="4" t="inlineStr"/>
      <c r="G988" s="2">
        <f>IF(AND(E988="Concluída",LEN(TRIM(F988))&gt;0),1,0)</f>
        <v/>
      </c>
      <c r="H988" s="4" t="inlineStr"/>
    </row>
    <row r="989" ht="54" customHeight="1">
      <c r="A989" s="2" t="inlineStr">
        <is>
          <t>E099</t>
        </is>
      </c>
      <c r="B989" s="2" t="inlineStr">
        <is>
          <t>E099.08</t>
        </is>
      </c>
      <c r="C989" s="2" t="inlineStr">
        <is>
          <t>Treinar responsáveis nas diferenças operacionais relevantes.</t>
        </is>
      </c>
      <c r="D989" s="2" t="inlineStr">
        <is>
          <t>Produto, Compras e Engenharia</t>
        </is>
      </c>
      <c r="E989" s="4" t="inlineStr">
        <is>
          <t>Pendente</t>
        </is>
      </c>
      <c r="F989" s="4" t="inlineStr"/>
      <c r="G989" s="2">
        <f>IF(AND(E989="Concluída",LEN(TRIM(F989))&gt;0),1,0)</f>
        <v/>
      </c>
      <c r="H989" s="4" t="inlineStr"/>
    </row>
    <row r="990" ht="54" customHeight="1">
      <c r="A990" s="2" t="inlineStr">
        <is>
          <t>E099</t>
        </is>
      </c>
      <c r="B990" s="2" t="inlineStr">
        <is>
          <t>E099.09</t>
        </is>
      </c>
      <c r="C990" s="2" t="inlineStr">
        <is>
          <t>Acompanhar uma compra autorizada no segundo contexto até sua conciliação.</t>
        </is>
      </c>
      <c r="D990" s="2" t="inlineStr">
        <is>
          <t>Produto, Compras e Engenharia</t>
        </is>
      </c>
      <c r="E990" s="4" t="inlineStr">
        <is>
          <t>Pendente</t>
        </is>
      </c>
      <c r="F990" s="4" t="inlineStr"/>
      <c r="G990" s="2">
        <f>IF(AND(E990="Concluída",LEN(TRIM(F990))&gt;0),1,0)</f>
        <v/>
      </c>
      <c r="H990" s="4" t="inlineStr"/>
    </row>
    <row r="991" ht="54" customHeight="1">
      <c r="A991" s="2" t="inlineStr">
        <is>
          <t>E099</t>
        </is>
      </c>
      <c r="B991" s="2" t="inlineStr">
        <is>
          <t>E099.10</t>
        </is>
      </c>
      <c r="C991" s="2" t="inlineStr">
        <is>
          <t>Registrar evidências de expansão e limitações que ainda exigem evolução do produto.</t>
        </is>
      </c>
      <c r="D991" s="2" t="inlineStr">
        <is>
          <t>Produto, Compras e Engenharia</t>
        </is>
      </c>
      <c r="E991" s="4" t="inlineStr">
        <is>
          <t>Pendente</t>
        </is>
      </c>
      <c r="F991" s="4" t="inlineStr"/>
      <c r="G991" s="2">
        <f>IF(AND(E991="Concluída",LEN(TRIM(F991))&gt;0),1,0)</f>
        <v/>
      </c>
      <c r="H991" s="4" t="inlineStr"/>
    </row>
    <row r="992" ht="54" customHeight="1">
      <c r="A992" s="2" t="inlineStr">
        <is>
          <t>E100</t>
        </is>
      </c>
      <c r="B992" s="2" t="inlineStr">
        <is>
          <t>E100.01</t>
        </is>
      </c>
      <c r="C992" s="2" t="inlineStr">
        <is>
          <t>Conferir as mil subetapas e investigar registros sem evidência suficiente.</t>
        </is>
      </c>
      <c r="D992" s="2" t="inlineStr">
        <is>
          <t>Produto, Design, Engenharia e Operação</t>
        </is>
      </c>
      <c r="E992" s="4" t="inlineStr">
        <is>
          <t>Pendente</t>
        </is>
      </c>
      <c r="F992" s="4" t="inlineStr"/>
      <c r="G992" s="2">
        <f>IF(AND(E992="Concluída",LEN(TRIM(F992))&gt;0),1,0)</f>
        <v/>
      </c>
      <c r="H992" s="4" t="inlineStr"/>
    </row>
    <row r="993" ht="54" customHeight="1">
      <c r="A993" s="2" t="inlineStr">
        <is>
          <t>E100</t>
        </is>
      </c>
      <c r="B993" s="2" t="inlineStr">
        <is>
          <t>E100.02</t>
        </is>
      </c>
      <c r="C993" s="2" t="inlineStr">
        <is>
          <t>Verificar critérios de aceite e revisores de todas as etapas anteriores.</t>
        </is>
      </c>
      <c r="D993" s="2" t="inlineStr">
        <is>
          <t>Produto, Design, Engenharia e Operação</t>
        </is>
      </c>
      <c r="E993" s="4" t="inlineStr">
        <is>
          <t>Pendente</t>
        </is>
      </c>
      <c r="F993" s="4" t="inlineStr"/>
      <c r="G993" s="2">
        <f>IF(AND(E993="Concluída",LEN(TRIM(F993))&gt;0),1,0)</f>
        <v/>
      </c>
      <c r="H993" s="4" t="inlineStr"/>
    </row>
    <row r="994" ht="54" customHeight="1">
      <c r="A994" s="2" t="inlineStr">
        <is>
          <t>E100</t>
        </is>
      </c>
      <c r="B994" s="2" t="inlineStr">
        <is>
          <t>E100.03</t>
        </is>
      </c>
      <c r="C994" s="2" t="inlineStr">
        <is>
          <t>Confirmar compras reais conciliadas e ambiente produtivo identificado.</t>
        </is>
      </c>
      <c r="D994" s="2" t="inlineStr">
        <is>
          <t>Produto, Design, Engenharia e Operação</t>
        </is>
      </c>
      <c r="E994" s="4" t="inlineStr">
        <is>
          <t>Pendente</t>
        </is>
      </c>
      <c r="F994" s="4" t="inlineStr"/>
      <c r="G994" s="2">
        <f>IF(AND(E994="Concluída",LEN(TRIM(F994))&gt;0),1,0)</f>
        <v/>
      </c>
      <c r="H994" s="4" t="inlineStr"/>
    </row>
    <row r="995" ht="54" customHeight="1">
      <c r="A995" s="2" t="inlineStr">
        <is>
          <t>E100</t>
        </is>
      </c>
      <c r="B995" s="2" t="inlineStr">
        <is>
          <t>E100.04</t>
        </is>
      </c>
      <c r="C995" s="2" t="inlineStr">
        <is>
          <t>Reconciliar documentação, permissões e configuração com o estado publicado.</t>
        </is>
      </c>
      <c r="D995" s="2" t="inlineStr">
        <is>
          <t>Produto, Design, Engenharia e Operação</t>
        </is>
      </c>
      <c r="E995" s="4" t="inlineStr">
        <is>
          <t>Pendente</t>
        </is>
      </c>
      <c r="F995" s="4" t="inlineStr"/>
      <c r="G995" s="2">
        <f>IF(AND(E995="Concluída",LEN(TRIM(F995))&gt;0),1,0)</f>
        <v/>
      </c>
      <c r="H995" s="4" t="inlineStr"/>
    </row>
    <row r="996" ht="54" customHeight="1">
      <c r="A996" s="2" t="inlineStr">
        <is>
          <t>E100</t>
        </is>
      </c>
      <c r="B996" s="2" t="inlineStr">
        <is>
          <t>E100.05</t>
        </is>
      </c>
      <c r="C996" s="2" t="inlineStr">
        <is>
          <t>Consolidar indicadores observados e limitações de amostra do período.</t>
        </is>
      </c>
      <c r="D996" s="2" t="inlineStr">
        <is>
          <t>Produto, Design, Engenharia e Operação</t>
        </is>
      </c>
      <c r="E996" s="4" t="inlineStr">
        <is>
          <t>Pendente</t>
        </is>
      </c>
      <c r="F996" s="4" t="inlineStr"/>
      <c r="G996" s="2">
        <f>IF(AND(E996="Concluída",LEN(TRIM(F996))&gt;0),1,0)</f>
        <v/>
      </c>
      <c r="H996" s="4" t="inlineStr"/>
    </row>
    <row r="997" ht="54" customHeight="1">
      <c r="A997" s="2" t="inlineStr">
        <is>
          <t>E100</t>
        </is>
      </c>
      <c r="B997" s="2" t="inlineStr">
        <is>
          <t>E100.06</t>
        </is>
      </c>
      <c r="C997" s="2" t="inlineStr">
        <is>
          <t>Transferir manutenção do sistema visual e conteúdo aos responsáveis definidos.</t>
        </is>
      </c>
      <c r="D997" s="2" t="inlineStr">
        <is>
          <t>Produto, Design, Engenharia e Operação</t>
        </is>
      </c>
      <c r="E997" s="4" t="inlineStr">
        <is>
          <t>Pendente</t>
        </is>
      </c>
      <c r="F997" s="4" t="inlineStr"/>
      <c r="G997" s="2">
        <f>IF(AND(E997="Concluída",LEN(TRIM(F997))&gt;0),1,0)</f>
        <v/>
      </c>
      <c r="H997" s="4" t="inlineStr"/>
    </row>
    <row r="998" ht="54" customHeight="1">
      <c r="A998" s="2" t="inlineStr">
        <is>
          <t>E100</t>
        </is>
      </c>
      <c r="B998" s="2" t="inlineStr">
        <is>
          <t>E100.07</t>
        </is>
      </c>
      <c r="C998" s="2" t="inlineStr">
        <is>
          <t>Formalizar operação, suporte, recuperação e gestão de acessos recorrentes.</t>
        </is>
      </c>
      <c r="D998" s="2" t="inlineStr">
        <is>
          <t>Produto, Design, Engenharia e Operação</t>
        </is>
      </c>
      <c r="E998" s="4" t="inlineStr">
        <is>
          <t>Pendente</t>
        </is>
      </c>
      <c r="F998" s="4" t="inlineStr"/>
      <c r="G998" s="2">
        <f>IF(AND(E998="Concluída",LEN(TRIM(F998))&gt;0),1,0)</f>
        <v/>
      </c>
      <c r="H998" s="4" t="inlineStr"/>
    </row>
    <row r="999" ht="54" customHeight="1">
      <c r="A999" s="2" t="inlineStr">
        <is>
          <t>E100</t>
        </is>
      </c>
      <c r="B999" s="2" t="inlineStr">
        <is>
          <t>E100.08</t>
        </is>
      </c>
      <c r="C999" s="2" t="inlineStr">
        <is>
          <t>Priorizar o próximo ciclo com base em problemas e oportunidades demonstrados.</t>
        </is>
      </c>
      <c r="D999" s="2" t="inlineStr">
        <is>
          <t>Produto, Design, Engenharia e Operação</t>
        </is>
      </c>
      <c r="E999" s="4" t="inlineStr">
        <is>
          <t>Pendente</t>
        </is>
      </c>
      <c r="F999" s="4" t="inlineStr"/>
      <c r="G999" s="2">
        <f>IF(AND(E999="Concluída",LEN(TRIM(F999))&gt;0),1,0)</f>
        <v/>
      </c>
      <c r="H999" s="4" t="inlineStr"/>
    </row>
    <row r="1000" ht="54" customHeight="1">
      <c r="A1000" s="2" t="inlineStr">
        <is>
          <t>E100</t>
        </is>
      </c>
      <c r="B1000" s="2" t="inlineStr">
        <is>
          <t>E100.09</t>
        </is>
      </c>
      <c r="C1000" s="2" t="inlineStr">
        <is>
          <t>Definir calendário de revisão de usabilidade, acessibilidade, segurança e desempenho.</t>
        </is>
      </c>
      <c r="D1000" s="2" t="inlineStr">
        <is>
          <t>Produto, Design, Engenharia e Operação</t>
        </is>
      </c>
      <c r="E1000" s="4" t="inlineStr">
        <is>
          <t>Pendente</t>
        </is>
      </c>
      <c r="F1000" s="4" t="inlineStr"/>
      <c r="G1000" s="2">
        <f>IF(AND(E1000="Concluída",LEN(TRIM(F1000))&gt;0),1,0)</f>
        <v/>
      </c>
      <c r="H1000" s="4" t="inlineStr"/>
    </row>
    <row r="1001" ht="54" customHeight="1">
      <c r="A1001" s="2" t="inlineStr">
        <is>
          <t>E100</t>
        </is>
      </c>
      <c r="B1001" s="2" t="inlineStr">
        <is>
          <t>E100.10</t>
        </is>
      </c>
      <c r="C1001" s="2" t="inlineStr">
        <is>
          <t>Registrar o aceite final da implantação com responsáveis, data e evidências verificáveis.</t>
        </is>
      </c>
      <c r="D1001" s="2" t="inlineStr">
        <is>
          <t>Produto, Design, Engenharia e Operação</t>
        </is>
      </c>
      <c r="E1001" s="4" t="inlineStr">
        <is>
          <t>Pendente</t>
        </is>
      </c>
      <c r="F1001" s="4" t="inlineStr"/>
      <c r="G1001" s="2">
        <f>IF(AND(E1001="Concluída",LEN(TRIM(F1001))&gt;0),1,0)</f>
        <v/>
      </c>
      <c r="H1001" s="4" t="inlineStr"/>
    </row>
  </sheetData>
  <autoFilter ref="A1:H1001"/>
  <dataValidations count="1">
    <dataValidation sqref="E2:E1001" showDropDown="0" showInputMessage="0" showErrorMessage="1" allowBlank="0" errorTitle="Estado inválido" error="Escolha um estado da lista." type="list" errorStyle="stop">
      <formula1>"Pendente,Em andamento,Bloqueada,Concluída"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 ht="32" customHeight="1">
      <c r="A1" s="1" t="inlineStr">
        <is>
          <t>ID</t>
        </is>
      </c>
      <c r="B1" s="1" t="inlineStr">
        <is>
          <t>Título</t>
        </is>
      </c>
      <c r="C1" s="1" t="inlineStr">
        <is>
          <t>Origem</t>
        </is>
      </c>
      <c r="D1" s="1" t="inlineStr">
        <is>
          <t>URL</t>
        </is>
      </c>
      <c r="E1" s="1" t="inlineStr">
        <is>
          <t>Aplicação e limite</t>
        </is>
      </c>
    </row>
    <row r="2" ht="78" customHeight="1">
      <c r="A2" s="2" t="inlineStr">
        <is>
          <t>R01</t>
        </is>
      </c>
      <c r="B2" s="2" t="inlineStr">
        <is>
          <t>Diagnóstico do portal Sicoob e anexos</t>
        </is>
      </c>
      <c r="C2" s="2" t="inlineStr">
        <is>
          <t>Pesquisa do projeto, 11/09/2026</t>
        </is>
      </c>
      <c r="D2" s="5" t="inlineStr">
        <is>
          <t>https://github.com/adm01-debug/Brindes_Sicoob_V2/blob/ec5cfaf5c2de844458c0105d8ad40c35f1eb9c14/docs/pesquisa/2026-09-11/dossie.md</t>
        </is>
      </c>
      <c r="E2" s="2" t="inlineStr">
        <is>
          <t>Reaproveitamento, riscos, políticas locais e perfis funcionais; não certifica produção.</t>
        </is>
      </c>
    </row>
    <row r="3" ht="78" customHeight="1">
      <c r="A3" s="2" t="inlineStr">
        <is>
          <t>R02</t>
        </is>
      </c>
      <c r="B3" s="2" t="inlineStr">
        <is>
          <t>Guia da marca Sicoob</t>
        </is>
      </c>
      <c r="C3" s="2" t="inlineStr">
        <is>
          <t>Março/2023; versão vigente a confirmar</t>
        </is>
      </c>
      <c r="D3" s="5" t="inlineStr">
        <is>
          <t>https://portalcredicope.com.br/uploads/DOCUMENTOS/GUIA_DA_MARCA_-SICOOB_marco_23.pdf</t>
        </is>
      </c>
      <c r="E3" s="2" t="inlineStr">
        <is>
          <t>Direção visual; a etapa 31 exige validação atual dos ativos e da especificação.</t>
        </is>
      </c>
    </row>
    <row r="4" ht="78" customHeight="1">
      <c r="A4" s="2" t="inlineStr">
        <is>
          <t>R03</t>
        </is>
      </c>
      <c r="B4" s="2" t="inlineStr">
        <is>
          <t>Heurísticas de usabilidade de Jakob Nielsen</t>
        </is>
      </c>
      <c r="C4" s="2" t="inlineStr">
        <is>
          <t>NN/g; revisão de 30/01/2024</t>
        </is>
      </c>
      <c r="D4" s="5" t="inlineStr">
        <is>
          <t>https://www.nngroup.com/articles/ten-usability-heuristics/</t>
        </is>
      </c>
      <c r="E4" s="2" t="inlineStr">
        <is>
          <t>Revisão de clareza, consistência, controle, prevenção e recuperação de erros.</t>
        </is>
      </c>
    </row>
    <row r="5" ht="78" customHeight="1">
      <c r="A5" s="2" t="inlineStr">
        <is>
          <t>R04</t>
        </is>
      </c>
      <c r="B5" s="2" t="inlineStr">
        <is>
          <t>WCAG 2.2</t>
        </is>
      </c>
      <c r="C5" s="2" t="inlineStr">
        <is>
          <t>W3C; referência normativa consultada em 11/09/2026</t>
        </is>
      </c>
      <c r="D5" s="5" t="inlineStr">
        <is>
          <t>https://www.w3.org/TR/WCAG22/</t>
        </is>
      </c>
      <c r="E5" s="2" t="inlineStr">
        <is>
          <t>Meta de conformidade AA; exige verificar todos os critérios aplicáveis, não apenas automação.</t>
        </is>
      </c>
    </row>
    <row r="6" ht="78" customHeight="1">
      <c r="A6" s="2" t="inlineStr">
        <is>
          <t>R05</t>
        </is>
      </c>
      <c r="B6" s="2" t="inlineStr">
        <is>
          <t>Contraste mínimo de texto</t>
        </is>
      </c>
      <c r="C6" s="2" t="inlineStr">
        <is>
          <t>W3C WAI; consultado em 11/09/2026</t>
        </is>
      </c>
      <c r="D6" s="5" t="inlineStr">
        <is>
          <t>https://www.w3.org/WAI/WCAG22/Understanding/contrast-minimum</t>
        </is>
      </c>
      <c r="E6" s="2" t="inlineStr">
        <is>
          <t>4,5:1 para texto normal e 3:1 para texto grande, com exceções normativas.</t>
        </is>
      </c>
    </row>
    <row r="7" ht="78" customHeight="1">
      <c r="A7" s="2" t="inlineStr">
        <is>
          <t>R06</t>
        </is>
      </c>
      <c r="B7" s="2" t="inlineStr">
        <is>
          <t>Contraste de informação não textual</t>
        </is>
      </c>
      <c r="C7" s="2" t="inlineStr">
        <is>
          <t>W3C WAI; consultado em 11/09/2026</t>
        </is>
      </c>
      <c r="D7" s="5" t="inlineStr">
        <is>
          <t>https://www.w3.org/WAI/WCAG22/Understanding/non-text-contrast.html</t>
        </is>
      </c>
      <c r="E7" s="2" t="inlineStr">
        <is>
          <t>Verificação de informação visual essencial de controles e gráficos.</t>
        </is>
      </c>
    </row>
    <row r="8" ht="78" customHeight="1">
      <c r="A8" s="2" t="inlineStr">
        <is>
          <t>R07</t>
        </is>
      </c>
      <c r="B8" s="2" t="inlineStr">
        <is>
          <t>Tamanho mínimo de alvo de interação</t>
        </is>
      </c>
      <c r="C8" s="2" t="inlineStr">
        <is>
          <t>W3C WAI; consultado em 11/09/2026</t>
        </is>
      </c>
      <c r="D8" s="5" t="inlineStr">
        <is>
          <t>https://www.w3.org/WAI/WCAG22/Understanding/target-size-minimum</t>
        </is>
      </c>
      <c r="E8" s="2" t="inlineStr">
        <is>
          <t>Mínimo de 24 × 24 CSS px ou condições de exceção; 44 px é preferência proposta para ações principais.</t>
        </is>
      </c>
    </row>
    <row r="9" ht="78" customHeight="1">
      <c r="A9" s="2" t="inlineStr">
        <is>
          <t>R08</t>
        </is>
      </c>
      <c r="B9" s="2" t="inlineStr">
        <is>
          <t>Foco não encoberto</t>
        </is>
      </c>
      <c r="C9" s="2" t="inlineStr">
        <is>
          <t>W3C WAI; consultado em 11/09/2026</t>
        </is>
      </c>
      <c r="D9" s="5" t="inlineStr">
        <is>
          <t>https://www.w3.org/WAI/WCAG22/Understanding/focus-not-obscured-minimum.html</t>
        </is>
      </c>
      <c r="E9" s="2" t="inlineStr">
        <is>
          <t>Evitar que conteúdo fixo esconda o componente com foco, observadas as condições do critério.</t>
        </is>
      </c>
    </row>
    <row r="10" ht="78" customHeight="1">
      <c r="A10" s="2" t="inlineStr">
        <is>
          <t>R09</t>
        </is>
      </c>
      <c r="B10" s="2" t="inlineStr">
        <is>
          <t>Web Vitals</t>
        </is>
      </c>
      <c r="C10" s="2" t="inlineStr">
        <is>
          <t>Google web.dev; consultado em 11/09/2026</t>
        </is>
      </c>
      <c r="D10" s="5" t="inlineStr">
        <is>
          <t>https://web.dev/articles/vitals</t>
        </is>
      </c>
      <c r="E10" s="2" t="inlineStr">
        <is>
          <t>Referências de campo: LCP 2,5 s, INP 200 ms e CLS 0,1 no percentil 75; laboratório é outra evidência.</t>
        </is>
      </c>
    </row>
    <row r="11" ht="78" customHeight="1">
      <c r="A11" s="2" t="inlineStr">
        <is>
          <t>R10</t>
        </is>
      </c>
      <c r="B11" s="2" t="inlineStr">
        <is>
          <t>Concluir múltiplas tarefas</t>
        </is>
      </c>
      <c r="C11" s="2" t="inlineStr">
        <is>
          <t>GOV.UK Design System; consultado em 11/09/2026</t>
        </is>
      </c>
      <c r="D11" s="5" t="inlineStr">
        <is>
          <t>https://design-system.service.gov.uk/patterns/complete-multiple-tasks/</t>
        </is>
      </c>
      <c r="E11" s="2" t="inlineStr">
        <is>
          <t>Organização de tarefas e estados; aplicação adaptada às jornadas institucionais do portal.</t>
        </is>
      </c>
    </row>
  </sheetData>
  <autoFilter ref="A1:E1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2026-09-11T16:04:51Z</dcterms:created>
  <dcterms:modified xsi:type="dcterms:W3CDTF">2026-09-11T16:04:51Z</dcterms:modified>
</cp:coreProperties>
</file>